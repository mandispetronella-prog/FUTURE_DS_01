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842" windowHeight="7714"/>
  </bookViews>
  <sheets>
    <sheet name="Sheet1" sheetId="1" r:id="rId1"/>
    <sheet name="Sheet2" sheetId="3" r:id="rId2"/>
  </sheets>
  <calcPr calcId="191029"/>
  <pivotCaches>
    <pivotCache cacheId="0" r:id="rId3"/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<sst xmlns="http://schemas.openxmlformats.org/spreadsheetml/2006/main" count="1058" uniqueCount="41">
  <si>
    <t>Order ID</t>
  </si>
  <si>
    <t>Date</t>
  </si>
  <si>
    <t>Product</t>
  </si>
  <si>
    <t>Price</t>
  </si>
  <si>
    <t>Quantity</t>
  </si>
  <si>
    <t>Cost</t>
  </si>
  <si>
    <t>City</t>
  </si>
  <si>
    <t>Country</t>
  </si>
  <si>
    <t>Purchase Type</t>
  </si>
  <si>
    <t>Payment Method</t>
  </si>
  <si>
    <t>Manager</t>
  </si>
  <si>
    <t>Revenue</t>
  </si>
  <si>
    <t>Profit</t>
  </si>
  <si>
    <t>Fries</t>
  </si>
  <si>
    <t xml:space="preserve">Online </t>
  </si>
  <si>
    <t xml:space="preserve"> Gift Card</t>
  </si>
  <si>
    <t>Tom Jackson</t>
  </si>
  <si>
    <t>Beverages</t>
  </si>
  <si>
    <t>Pablo Perez</t>
  </si>
  <si>
    <t>Sides &amp; Other</t>
  </si>
  <si>
    <t xml:space="preserve">In-store </t>
  </si>
  <si>
    <t>Joao Silva</t>
  </si>
  <si>
    <t>Burgers</t>
  </si>
  <si>
    <t xml:space="preserve"> Credit Card</t>
  </si>
  <si>
    <t>Walter Muller</t>
  </si>
  <si>
    <t>Chicken Sandwiches</t>
  </si>
  <si>
    <t>Remy Monet</t>
  </si>
  <si>
    <t xml:space="preserve">Drive-thru </t>
  </si>
  <si>
    <t xml:space="preserve"> Cash</t>
  </si>
  <si>
    <t>Data Analysis Questions</t>
  </si>
  <si>
    <t>Row Labels</t>
  </si>
  <si>
    <t>Sum of Quantity</t>
  </si>
  <si>
    <t>Sum of Price</t>
  </si>
  <si>
    <t>Sum of Cost</t>
  </si>
  <si>
    <t>1) What is the revenue trends?</t>
  </si>
  <si>
    <t>2) What is the top-selling product?</t>
  </si>
  <si>
    <t>3) What are the high value categories and regional importance</t>
  </si>
  <si>
    <t>Grand Total</t>
  </si>
  <si>
    <t>Sum of Revenue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</si>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</sst>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2"/>
      <color rgb="FF0000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>
      <alignment horizontal="left" indent="1"/>
    </xf>
    <xf numFmtId="0" fontId="2" fillId="3" borderId="0" xfId="0" applyFont="1" applyFill="1" applyAlignment="1">
      <alignment horizontal="left" indent="1"/>
    </xf>
    <xf numFmtId="0" fontId="2" fillId="3" borderId="0" xfId="0" applyFont="1" applyFill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58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alignment horizontal="center"/>
    </dxf>
    <dxf>
      <numFmt numFmtId="176" formatCode="d/m/yy"/>
      <alignment horizontal="left"/>
    </dxf>
    <dxf>
      <alignment horizontal="center"/>
    </dxf>
    <dxf>
      <numFmt numFmtId="1" formatCode="0"/>
      <alignment horizontal="center"/>
    </dxf>
    <dxf>
      <alignment horizontal="center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invalid="1" createdVersion="8" refreshedVersion="8" minRefreshableVersion="3" refreshedDate="46198.9027453704" refreshedBy="Ntando Mkhabela" recordCount="254">
  <cacheSource type="worksheet">
    <worksheetSource name="Table1"/>
  </cacheSource>
  <cacheFields count="12">
    <cacheField name="Order ID" numFmtId="0"/>
    <cacheField name="Date" numFmtId="58"/>
    <cacheField name="Product" numFmtId="0">
      <sharedItems count="5">
        <s v="Fries"/>
        <s v="Beverages"/>
        <s v="Sides &amp; Other"/>
        <s v="Burgers"/>
        <s v="Chicken Sandwiches"/>
      </sharedItems>
    </cacheField>
    <cacheField name="Price" numFmtId="0"/>
    <cacheField name="Quantity" numFmtId="1"/>
    <cacheField name="Cost" numFmtId="0"/>
    <cacheField name="City" numFmtId="0"/>
    <cacheField name="Country" numFmtId="0"/>
    <cacheField name="Purchase Type" numFmtId="0"/>
    <cacheField name="Payment Method" numFmtId="0">
      <sharedItems count="3">
        <s v=" Gift Card"/>
        <s v=" Credit Card"/>
        <s v=" Cash"/>
      </sharedItems>
    </cacheField>
    <cacheField name="Manager" numFmtId="0"/>
    <cacheField name="Revenue" numFmtI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invalid="1" createdVersion="8" refreshedVersion="8" minRefreshableVersion="3" refreshedDate="46198.9078670139" refreshedBy="Ntando Mkhabela" recordCount="254">
  <cacheSource type="worksheet">
    <worksheetSource name="Table1"/>
  </cacheSource>
  <cacheFields count="14">
    <cacheField name="Order ID" numFmtId="0"/>
    <cacheField name="Date" numFmtId="58">
      <sharedItems containsSemiMixedTypes="0" containsString="0" containsNonDate="0" containsDate="1" minDate="2022-11-07T00:00:00" maxDate="2022-12-29T00:00:00" count="53"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</sharedItems>
    </cacheField>
    <cacheField name="Product" numFmtId="0">
      <sharedItems count="5">
        <s v="Fries"/>
        <s v="Beverages"/>
        <s v="Sides &amp; Other"/>
        <s v="Burgers"/>
        <s v="Chicken Sandwiches"/>
      </sharedItems>
    </cacheField>
    <cacheField name="Price" numFmtId="0"/>
    <cacheField name="Quantity" numFmtId="1"/>
    <cacheField name="Cost" numFmtId="0"/>
    <cacheField name="City" numFmtId="0">
      <sharedItems count="5">
        <s v="London"/>
        <s v="Madrid"/>
        <s v="Lisbon"/>
        <s v="Berlin"/>
        <s v="Paris"/>
      </sharedItems>
    </cacheField>
    <cacheField name="Country" numFmtId="0"/>
    <cacheField name="Purchase Type" numFmtId="0"/>
    <cacheField name="Payment Method" numFmtId="0"/>
    <cacheField name="Manager" numFmtId="0"/>
    <cacheField name="Revenue" numFmtId="0"/>
    <cacheField name="Days (Date)" numFmtId="0" databaseField="0">
      <fieldGroup base="1">
        <rangePr groupBy="days" startDate="2022-11-07T00:00:00" endDate="2022-12-30T00:00:00" groupInterval="1"/>
        <groupItems count="368">
          <s v="&lt;2022/11/07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2/12/30"/>
        </groupItems>
      </fieldGroup>
    </cacheField>
    <cacheField name="Months (Date)" numFmtId="0" databaseField="0">
      <fieldGroup base="1">
        <rangePr groupBy="months" startDate="2022-11-07T00:00:00" endDate="2022-12-30T00:00:00" groupInterval="1"/>
        <groupItems count="14">
          <s v="&lt;2022/11/07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22/12/30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4"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  <r>
    <m/>
    <m/>
    <x v="4294967295"/>
    <m/>
    <m/>
    <m/>
    <m/>
    <m/>
    <m/>
    <x v="4294967295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4"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  <r>
    <m/>
    <x v="4294967295"/>
    <x v="4294967295"/>
    <m/>
    <m/>
    <m/>
    <x v="4294967295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L2:N8" firstHeaderRow="0" firstDataRow="1" firstDataCol="1"/>
  <pivotFields count="14">
    <pivotField showAll="0"/>
    <pivotField numFmtId="58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sortType="descending" showAll="0">
      <items count="6">
        <item x="1"/>
        <item x="3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numFmtId="1"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 v="1"/>
    </i>
    <i>
      <x v="2"/>
    </i>
    <i>
      <x v="4"/>
    </i>
    <i>
      <x v="3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" fld="3" baseField="0" baseItem="0"/>
    <dataField name="Sum of Cost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L10:M13" firstHeaderRow="1" firstDataRow="1" firstDataCol="1"/>
  <pivotFields count="14">
    <pivotField showAll="0"/>
    <pivotField axis="axisRow" numFmtId="58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ortType="ascending" showAll="0">
      <items count="15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0"/>
        <item sd="0" x="13"/>
        <item t="default"/>
      </items>
    </pivotField>
  </pivotFields>
  <rowFields count="3">
    <field x="13"/>
    <field x="1"/>
    <field x="12"/>
  </rowFields>
  <rowItems count="3">
    <i>
      <x v="10"/>
    </i>
    <i>
      <x v="11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I10:J16" firstHeaderRow="1" firstDataRow="1" firstDataCol="1"/>
  <pivotFields count="14">
    <pivotField showAll="0"/>
    <pivotField numFmtId="58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/>
    <pivotField numFmtId="1"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I2:J8" firstHeaderRow="1" firstDataRow="1" firstDataCol="1"/>
  <pivotFields count="12">
    <pivotField showAll="0"/>
    <pivotField numFmtId="58" showAll="0"/>
    <pivotField axis="axisRow" sortType="descending" showAll="0">
      <items count="6">
        <item x="1"/>
        <item x="3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3"/>
    </i>
    <i>
      <x v="1"/>
    </i>
    <i>
      <x v="2"/>
    </i>
    <i>
      <x v="4"/>
    </i>
    <i t="grand">
      <x/>
    </i>
  </rowItems>
  <colItems count="1">
    <i/>
  </colItems>
  <dataFields count="1">
    <dataField name="Sum of Quantity" fld="4" baseField="0" baseItem="0" numFmtId="1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M255" totalsRowShown="0">
  <autoFilter xmlns:etc="http://www.wps.cn/officeDocument/2017/etCustomData" ref="A1:M255" etc:filterBottomFollowUsedRange="0"/>
  <tableColumns count="13">
    <tableColumn id="1" name="Order ID" dataDxfId="0"/>
    <tableColumn id="2" name="Date" dataDxfId="1"/>
    <tableColumn id="3" name="Product"/>
    <tableColumn id="4" name="Price" dataDxfId="2"/>
    <tableColumn id="5" name="Quantity" dataDxfId="3"/>
    <tableColumn id="6" name="Cost" dataDxfId="4"/>
    <tableColumn id="7" name="City"/>
    <tableColumn id="8" name="Country">
      <calculatedColumnFormula array="1">_FV(G2,"Country/region",TRUE)</calculatedColumnFormula>
    </tableColumn>
    <tableColumn id="9" name="Purchase Type"/>
    <tableColumn id="10" name="Payment Method"/>
    <tableColumn id="11" name="Manager"/>
    <tableColumn id="12" name="Revenue" dataDxfId="5">
      <calculatedColumnFormula>Table1[[#This Row],[Price]]*Table1[[#This Row],[Quantity]]</calculatedColumnFormula>
    </tableColumn>
    <tableColumn id="13" name="Profit" dataDxfId="6">
      <calculatedColumnFormula>D2*F2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5"/>
  <sheetViews>
    <sheetView tabSelected="1" zoomScale="121" zoomScaleNormal="121" workbookViewId="0">
      <selection activeCell="B7" sqref="B7"/>
    </sheetView>
  </sheetViews>
  <sheetFormatPr defaultColWidth="9" defaultRowHeight="18.4"/>
  <cols>
    <col min="2" max="2" width="10.425" customWidth="1"/>
    <col min="7" max="7" width="12" customWidth="1"/>
  </cols>
  <sheetData>
    <row r="1" ht="19.7" spans="1:13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</row>
    <row r="2" spans="1:13">
      <c r="A2" s="11">
        <v>10452</v>
      </c>
      <c r="B2" s="12">
        <v>44872</v>
      </c>
      <c r="C2" t="s">
        <v>13</v>
      </c>
      <c r="D2" s="11">
        <v>3.49</v>
      </c>
      <c r="E2" s="13">
        <v>574</v>
      </c>
      <c r="F2" s="11">
        <v>0.88</v>
      </c>
      <c r="G2" t="e">
        <v>#VALUE!</v>
      </c>
      <c r="H2" t="e" cm="1">
        <f t="array" ref="H2">_FV(G2,"Country/region",TRUE)</f>
        <v>#NAME?</v>
      </c>
      <c r="I2" t="s">
        <v>14</v>
      </c>
      <c r="J2" t="s">
        <v>15</v>
      </c>
      <c r="K2" t="s">
        <v>16</v>
      </c>
      <c r="L2">
        <f>Table1[[#This Row],[Price]]*Table1[[#This Row],[Quantity]]</f>
        <v>2003.26</v>
      </c>
      <c r="M2">
        <f t="shared" ref="M2:M65" si="0">D2*F2</f>
        <v>3.0712</v>
      </c>
    </row>
    <row r="3" spans="1:13">
      <c r="A3" s="11">
        <v>10453</v>
      </c>
      <c r="B3" s="12">
        <v>44872</v>
      </c>
      <c r="C3" t="s">
        <v>17</v>
      </c>
      <c r="D3" s="11">
        <v>2.95</v>
      </c>
      <c r="E3" s="13">
        <v>746</v>
      </c>
      <c r="F3" s="11">
        <v>0.47</v>
      </c>
      <c r="G3" t="e">
        <v>#VALUE!</v>
      </c>
      <c r="H3" t="e" cm="1">
        <f t="array" ref="H3">_FV(G3,"Country/region",TRUE)</f>
        <v>#NAME?</v>
      </c>
      <c r="I3" t="s">
        <v>14</v>
      </c>
      <c r="J3" t="s">
        <v>15</v>
      </c>
      <c r="K3" t="s">
        <v>18</v>
      </c>
      <c r="L3">
        <f>Table1[[#This Row],[Price]]*Table1[[#This Row],[Quantity]]</f>
        <v>2200.7</v>
      </c>
      <c r="M3">
        <f t="shared" si="0"/>
        <v>1.3865</v>
      </c>
    </row>
    <row r="4" spans="1:13">
      <c r="A4" s="11">
        <v>10454</v>
      </c>
      <c r="B4" s="12">
        <v>44872</v>
      </c>
      <c r="C4" t="s">
        <v>19</v>
      </c>
      <c r="D4" s="11">
        <v>4.99</v>
      </c>
      <c r="E4" s="13">
        <v>201</v>
      </c>
      <c r="F4" s="11">
        <v>2.25</v>
      </c>
      <c r="G4" t="e">
        <v>#VALUE!</v>
      </c>
      <c r="H4" t="e" cm="1">
        <f t="array" ref="H4">_FV(G4,"Country/region",TRUE)</f>
        <v>#NAME?</v>
      </c>
      <c r="I4" t="s">
        <v>20</v>
      </c>
      <c r="J4" t="s">
        <v>15</v>
      </c>
      <c r="K4" t="s">
        <v>21</v>
      </c>
      <c r="L4">
        <f>Table1[[#This Row],[Price]]*Table1[[#This Row],[Quantity]]</f>
        <v>1002.99</v>
      </c>
      <c r="M4">
        <f t="shared" si="0"/>
        <v>11.2275</v>
      </c>
    </row>
    <row r="5" spans="1:13">
      <c r="A5" s="11">
        <v>10455</v>
      </c>
      <c r="B5" s="12">
        <v>44873</v>
      </c>
      <c r="C5" t="s">
        <v>22</v>
      </c>
      <c r="D5" s="11">
        <v>12.99</v>
      </c>
      <c r="E5" s="13">
        <v>570</v>
      </c>
      <c r="F5" s="11">
        <v>4.32</v>
      </c>
      <c r="G5" t="e">
        <v>#VALUE!</v>
      </c>
      <c r="H5" t="e" cm="1">
        <f t="array" ref="H5">_FV(G5,"Country/region",TRUE)</f>
        <v>#NAME?</v>
      </c>
      <c r="I5" t="s">
        <v>20</v>
      </c>
      <c r="J5" t="s">
        <v>23</v>
      </c>
      <c r="K5" t="s">
        <v>24</v>
      </c>
      <c r="L5">
        <f>Table1[[#This Row],[Price]]*Table1[[#This Row],[Quantity]]</f>
        <v>7404.3</v>
      </c>
      <c r="M5">
        <f t="shared" si="0"/>
        <v>56.1168</v>
      </c>
    </row>
    <row r="6" spans="1:13">
      <c r="A6" s="11">
        <v>10456</v>
      </c>
      <c r="B6" s="12">
        <v>44873</v>
      </c>
      <c r="C6" t="s">
        <v>25</v>
      </c>
      <c r="D6" s="11">
        <v>9.95</v>
      </c>
      <c r="E6" s="13">
        <v>202</v>
      </c>
      <c r="F6" s="11">
        <v>2.85</v>
      </c>
      <c r="G6" t="e">
        <v>#VALUE!</v>
      </c>
      <c r="H6" t="e" cm="1">
        <f t="array" ref="H6">_FV(G6,"Country/region",TRUE)</f>
        <v>#NAME?</v>
      </c>
      <c r="I6" t="s">
        <v>20</v>
      </c>
      <c r="J6" t="s">
        <v>23</v>
      </c>
      <c r="K6" t="s">
        <v>24</v>
      </c>
      <c r="L6">
        <f>Table1[[#This Row],[Price]]*Table1[[#This Row],[Quantity]]</f>
        <v>2009.9</v>
      </c>
      <c r="M6">
        <f t="shared" si="0"/>
        <v>28.3575</v>
      </c>
    </row>
    <row r="7" spans="1:13">
      <c r="A7" s="11">
        <v>10457</v>
      </c>
      <c r="B7" s="12">
        <v>44873</v>
      </c>
      <c r="C7" t="s">
        <v>13</v>
      </c>
      <c r="D7" s="11">
        <v>3.49</v>
      </c>
      <c r="E7" s="13">
        <v>574</v>
      </c>
      <c r="F7" s="11">
        <v>0.88</v>
      </c>
      <c r="G7" t="e">
        <v>#VALUE!</v>
      </c>
      <c r="H7" t="e" cm="1">
        <f t="array" ref="H7">_FV(G7,"Country/region",TRUE)</f>
        <v>#NAME?</v>
      </c>
      <c r="I7" t="s">
        <v>20</v>
      </c>
      <c r="J7" t="s">
        <v>23</v>
      </c>
      <c r="K7" t="s">
        <v>26</v>
      </c>
      <c r="L7">
        <f>Table1[[#This Row],[Price]]*Table1[[#This Row],[Quantity]]</f>
        <v>2003.26</v>
      </c>
      <c r="M7">
        <f t="shared" si="0"/>
        <v>3.0712</v>
      </c>
    </row>
    <row r="8" spans="1:13">
      <c r="A8" s="11">
        <v>10459</v>
      </c>
      <c r="B8" s="12">
        <v>44873</v>
      </c>
      <c r="C8" t="s">
        <v>19</v>
      </c>
      <c r="D8" s="11">
        <v>4.99</v>
      </c>
      <c r="E8" s="13">
        <v>201</v>
      </c>
      <c r="F8" s="11">
        <v>2.25</v>
      </c>
      <c r="G8" t="e">
        <v>#VALUE!</v>
      </c>
      <c r="H8" t="e" cm="1">
        <f t="array" ref="H8">_FV(G8,"Country/region",TRUE)</f>
        <v>#NAME?</v>
      </c>
      <c r="I8" t="s">
        <v>20</v>
      </c>
      <c r="J8" t="s">
        <v>23</v>
      </c>
      <c r="K8" t="s">
        <v>26</v>
      </c>
      <c r="L8">
        <f>Table1[[#This Row],[Price]]*Table1[[#This Row],[Quantity]]</f>
        <v>1002.99</v>
      </c>
      <c r="M8">
        <f t="shared" si="0"/>
        <v>11.2275</v>
      </c>
    </row>
    <row r="9" spans="1:13">
      <c r="A9" s="11">
        <v>10460</v>
      </c>
      <c r="B9" s="12">
        <v>44874</v>
      </c>
      <c r="C9" t="s">
        <v>22</v>
      </c>
      <c r="D9" s="11">
        <v>12.99</v>
      </c>
      <c r="E9" s="13">
        <v>555</v>
      </c>
      <c r="F9" s="11">
        <v>4.32</v>
      </c>
      <c r="G9" t="e">
        <v>#VALUE!</v>
      </c>
      <c r="H9" t="e" cm="1">
        <f t="array" ref="H9">_FV(G9,"Country/region",TRUE)</f>
        <v>#NAME?</v>
      </c>
      <c r="I9" t="s">
        <v>20</v>
      </c>
      <c r="J9" t="s">
        <v>23</v>
      </c>
      <c r="K9" t="s">
        <v>24</v>
      </c>
      <c r="L9">
        <f>Table1[[#This Row],[Price]]*Table1[[#This Row],[Quantity]]</f>
        <v>7209.45</v>
      </c>
      <c r="M9">
        <f t="shared" si="0"/>
        <v>56.1168</v>
      </c>
    </row>
    <row r="10" spans="1:13">
      <c r="A10" s="11">
        <v>10461</v>
      </c>
      <c r="B10" s="12">
        <v>44874</v>
      </c>
      <c r="C10" t="s">
        <v>25</v>
      </c>
      <c r="D10" s="11">
        <v>9.95</v>
      </c>
      <c r="E10" s="13">
        <v>202</v>
      </c>
      <c r="F10" s="11">
        <v>2.85</v>
      </c>
      <c r="G10" t="e">
        <v>#VALUE!</v>
      </c>
      <c r="H10" t="e" cm="1">
        <f t="array" ref="H10">_FV(G10,"Country/region",TRUE)</f>
        <v>#NAME?</v>
      </c>
      <c r="I10" t="s">
        <v>20</v>
      </c>
      <c r="J10" t="s">
        <v>23</v>
      </c>
      <c r="K10" t="s">
        <v>26</v>
      </c>
      <c r="L10">
        <f>Table1[[#This Row],[Price]]*Table1[[#This Row],[Quantity]]</f>
        <v>2009.9</v>
      </c>
      <c r="M10">
        <f t="shared" si="0"/>
        <v>28.3575</v>
      </c>
    </row>
    <row r="11" spans="1:13">
      <c r="A11" s="11">
        <v>10462</v>
      </c>
      <c r="B11" s="12">
        <v>44874</v>
      </c>
      <c r="C11" t="s">
        <v>13</v>
      </c>
      <c r="D11" s="11">
        <v>3.49</v>
      </c>
      <c r="E11" s="13">
        <v>574</v>
      </c>
      <c r="F11" s="11">
        <v>0.88</v>
      </c>
      <c r="G11" t="e">
        <v>#VALUE!</v>
      </c>
      <c r="H11" t="e" cm="1">
        <f t="array" ref="H11">_FV(G11,"Country/region",TRUE)</f>
        <v>#NAME?</v>
      </c>
      <c r="I11" t="s">
        <v>20</v>
      </c>
      <c r="J11" t="s">
        <v>23</v>
      </c>
      <c r="K11" t="s">
        <v>26</v>
      </c>
      <c r="L11">
        <f>Table1[[#This Row],[Price]]*Table1[[#This Row],[Quantity]]</f>
        <v>2003.26</v>
      </c>
      <c r="M11">
        <f t="shared" si="0"/>
        <v>3.0712</v>
      </c>
    </row>
    <row r="12" spans="1:13">
      <c r="A12" s="11">
        <v>10463</v>
      </c>
      <c r="B12" s="12">
        <v>44874</v>
      </c>
      <c r="C12" t="s">
        <v>17</v>
      </c>
      <c r="D12" s="11">
        <v>2.95</v>
      </c>
      <c r="E12" s="13">
        <v>678</v>
      </c>
      <c r="F12" s="11">
        <v>0.47</v>
      </c>
      <c r="G12" t="e">
        <v>#VALUE!</v>
      </c>
      <c r="H12" t="e" cm="1">
        <f t="array" ref="H12">_FV(G12,"Country/region",TRUE)</f>
        <v>#NAME?</v>
      </c>
      <c r="I12" t="s">
        <v>20</v>
      </c>
      <c r="J12" t="s">
        <v>23</v>
      </c>
      <c r="K12" t="s">
        <v>26</v>
      </c>
      <c r="L12">
        <f>Table1[[#This Row],[Price]]*Table1[[#This Row],[Quantity]]</f>
        <v>2000.1</v>
      </c>
      <c r="M12">
        <f t="shared" si="0"/>
        <v>1.3865</v>
      </c>
    </row>
    <row r="13" spans="1:13">
      <c r="A13" s="11">
        <v>10464</v>
      </c>
      <c r="B13" s="12">
        <v>44874</v>
      </c>
      <c r="C13" t="s">
        <v>19</v>
      </c>
      <c r="D13" s="11">
        <v>4.99</v>
      </c>
      <c r="E13" s="13">
        <v>201</v>
      </c>
      <c r="F13" s="11">
        <v>2.25</v>
      </c>
      <c r="G13" t="e">
        <v>#VALUE!</v>
      </c>
      <c r="H13" t="e" cm="1">
        <f t="array" ref="H13">_FV(G13,"Country/region",TRUE)</f>
        <v>#NAME?</v>
      </c>
      <c r="I13" t="s">
        <v>20</v>
      </c>
      <c r="J13" t="s">
        <v>23</v>
      </c>
      <c r="K13" t="s">
        <v>26</v>
      </c>
      <c r="L13">
        <f>Table1[[#This Row],[Price]]*Table1[[#This Row],[Quantity]]</f>
        <v>1002.99</v>
      </c>
      <c r="M13">
        <f t="shared" si="0"/>
        <v>11.2275</v>
      </c>
    </row>
    <row r="14" spans="1:13">
      <c r="A14" s="11">
        <v>10465</v>
      </c>
      <c r="B14" s="12">
        <v>44875</v>
      </c>
      <c r="C14" t="s">
        <v>22</v>
      </c>
      <c r="D14" s="11">
        <v>12.99</v>
      </c>
      <c r="E14" s="13">
        <v>555</v>
      </c>
      <c r="F14" s="11">
        <v>4.32</v>
      </c>
      <c r="G14" t="e">
        <v>#VALUE!</v>
      </c>
      <c r="H14" t="e" cm="1">
        <f t="array" ref="H14">_FV(G14,"Country/region",TRUE)</f>
        <v>#NAME?</v>
      </c>
      <c r="I14" t="s">
        <v>20</v>
      </c>
      <c r="J14" t="s">
        <v>23</v>
      </c>
      <c r="K14" t="s">
        <v>18</v>
      </c>
      <c r="L14">
        <f>Table1[[#This Row],[Price]]*Table1[[#This Row],[Quantity]]</f>
        <v>7209.45</v>
      </c>
      <c r="M14">
        <f t="shared" si="0"/>
        <v>56.1168</v>
      </c>
    </row>
    <row r="15" spans="1:13">
      <c r="A15" s="11">
        <v>10466</v>
      </c>
      <c r="B15" s="12">
        <v>44875</v>
      </c>
      <c r="C15" t="s">
        <v>25</v>
      </c>
      <c r="D15" s="11">
        <v>9.95</v>
      </c>
      <c r="E15" s="13">
        <v>202</v>
      </c>
      <c r="F15" s="11">
        <v>2.85</v>
      </c>
      <c r="G15" t="e">
        <v>#VALUE!</v>
      </c>
      <c r="H15" t="e" cm="1">
        <f t="array" ref="H15">_FV(G15,"Country/region",TRUE)</f>
        <v>#NAME?</v>
      </c>
      <c r="I15" t="s">
        <v>20</v>
      </c>
      <c r="J15" t="s">
        <v>23</v>
      </c>
      <c r="K15" t="s">
        <v>18</v>
      </c>
      <c r="L15">
        <f>Table1[[#This Row],[Price]]*Table1[[#This Row],[Quantity]]</f>
        <v>2009.9</v>
      </c>
      <c r="M15">
        <f t="shared" si="0"/>
        <v>28.3575</v>
      </c>
    </row>
    <row r="16" spans="1:13">
      <c r="A16" s="11">
        <v>10467</v>
      </c>
      <c r="B16" s="12">
        <v>44875</v>
      </c>
      <c r="C16" t="s">
        <v>13</v>
      </c>
      <c r="D16" s="11">
        <v>3.49</v>
      </c>
      <c r="E16" s="13">
        <v>574</v>
      </c>
      <c r="F16" s="11">
        <v>0.88</v>
      </c>
      <c r="G16" t="e">
        <v>#VALUE!</v>
      </c>
      <c r="H16" t="e" cm="1">
        <f t="array" ref="H16">_FV(G16,"Country/region",TRUE)</f>
        <v>#NAME?</v>
      </c>
      <c r="I16" t="s">
        <v>20</v>
      </c>
      <c r="J16" t="s">
        <v>23</v>
      </c>
      <c r="K16" t="s">
        <v>18</v>
      </c>
      <c r="L16">
        <f>Table1[[#This Row],[Price]]*Table1[[#This Row],[Quantity]]</f>
        <v>2003.26</v>
      </c>
      <c r="M16">
        <f t="shared" si="0"/>
        <v>3.0712</v>
      </c>
    </row>
    <row r="17" spans="1:13">
      <c r="A17" s="11">
        <v>10468</v>
      </c>
      <c r="B17" s="12">
        <v>44875</v>
      </c>
      <c r="C17" t="s">
        <v>17</v>
      </c>
      <c r="D17" s="11">
        <v>2.95</v>
      </c>
      <c r="E17" s="13">
        <v>678</v>
      </c>
      <c r="F17" s="11">
        <v>0.47</v>
      </c>
      <c r="G17" t="e">
        <v>#VALUE!</v>
      </c>
      <c r="H17" t="e" cm="1">
        <f t="array" ref="H17">_FV(G17,"Country/region",TRUE)</f>
        <v>#NAME?</v>
      </c>
      <c r="I17" t="s">
        <v>20</v>
      </c>
      <c r="J17" t="s">
        <v>23</v>
      </c>
      <c r="K17" t="s">
        <v>18</v>
      </c>
      <c r="L17">
        <f>Table1[[#This Row],[Price]]*Table1[[#This Row],[Quantity]]</f>
        <v>2000.1</v>
      </c>
      <c r="M17">
        <f t="shared" si="0"/>
        <v>1.3865</v>
      </c>
    </row>
    <row r="18" spans="1:13">
      <c r="A18" s="11">
        <v>10470</v>
      </c>
      <c r="B18" s="12">
        <v>44876</v>
      </c>
      <c r="C18" t="s">
        <v>22</v>
      </c>
      <c r="D18" s="11">
        <v>12.99</v>
      </c>
      <c r="E18" s="13">
        <v>555</v>
      </c>
      <c r="F18" s="11">
        <v>4.32</v>
      </c>
      <c r="G18" t="e">
        <v>#VALUE!</v>
      </c>
      <c r="H18" t="e" cm="1">
        <f t="array" ref="H18">_FV(G18,"Country/region",TRUE)</f>
        <v>#NAME?</v>
      </c>
      <c r="I18" t="s">
        <v>20</v>
      </c>
      <c r="J18" t="s">
        <v>23</v>
      </c>
      <c r="K18" t="s">
        <v>18</v>
      </c>
      <c r="L18">
        <f>Table1[[#This Row],[Price]]*Table1[[#This Row],[Quantity]]</f>
        <v>7209.45</v>
      </c>
      <c r="M18">
        <f t="shared" si="0"/>
        <v>56.1168</v>
      </c>
    </row>
    <row r="19" spans="1:13">
      <c r="A19" s="11">
        <v>10471</v>
      </c>
      <c r="B19" s="12">
        <v>44876</v>
      </c>
      <c r="C19" t="s">
        <v>25</v>
      </c>
      <c r="D19" s="11">
        <v>9.95</v>
      </c>
      <c r="E19" s="13">
        <v>202</v>
      </c>
      <c r="F19" s="11">
        <v>2.85</v>
      </c>
      <c r="G19" t="e">
        <v>#VALUE!</v>
      </c>
      <c r="H19" t="e" cm="1">
        <f t="array" ref="H19">_FV(G19,"Country/region",TRUE)</f>
        <v>#NAME?</v>
      </c>
      <c r="I19" t="s">
        <v>20</v>
      </c>
      <c r="J19" t="s">
        <v>23</v>
      </c>
      <c r="K19" t="s">
        <v>18</v>
      </c>
      <c r="L19">
        <f>Table1[[#This Row],[Price]]*Table1[[#This Row],[Quantity]]</f>
        <v>2009.9</v>
      </c>
      <c r="M19">
        <f t="shared" si="0"/>
        <v>28.3575</v>
      </c>
    </row>
    <row r="20" spans="1:13">
      <c r="A20" s="11">
        <v>10472</v>
      </c>
      <c r="B20" s="12">
        <v>44876</v>
      </c>
      <c r="C20" t="s">
        <v>13</v>
      </c>
      <c r="D20" s="11">
        <v>3.49</v>
      </c>
      <c r="E20" s="13">
        <v>631</v>
      </c>
      <c r="F20" s="11">
        <v>0.88</v>
      </c>
      <c r="G20" t="e">
        <v>#VALUE!</v>
      </c>
      <c r="H20" t="e" cm="1">
        <f t="array" ref="H20">_FV(G20,"Country/region",TRUE)</f>
        <v>#NAME?</v>
      </c>
      <c r="I20" t="s">
        <v>20</v>
      </c>
      <c r="J20" t="s">
        <v>23</v>
      </c>
      <c r="K20" t="s">
        <v>18</v>
      </c>
      <c r="L20">
        <f>Table1[[#This Row],[Price]]*Table1[[#This Row],[Quantity]]</f>
        <v>2202.19</v>
      </c>
      <c r="M20">
        <f t="shared" si="0"/>
        <v>3.0712</v>
      </c>
    </row>
    <row r="21" spans="1:13">
      <c r="A21" s="11">
        <v>10473</v>
      </c>
      <c r="B21" s="12">
        <v>44876</v>
      </c>
      <c r="C21" t="s">
        <v>17</v>
      </c>
      <c r="D21" s="11">
        <v>2.95</v>
      </c>
      <c r="E21" s="13">
        <v>678</v>
      </c>
      <c r="F21" s="11">
        <v>0.47</v>
      </c>
      <c r="G21" t="e">
        <v>#VALUE!</v>
      </c>
      <c r="H21" t="e" cm="1">
        <f t="array" ref="H21">_FV(G21,"Country/region",TRUE)</f>
        <v>#NAME?</v>
      </c>
      <c r="I21" t="s">
        <v>20</v>
      </c>
      <c r="J21" t="s">
        <v>23</v>
      </c>
      <c r="K21" t="s">
        <v>18</v>
      </c>
      <c r="L21">
        <f>Table1[[#This Row],[Price]]*Table1[[#This Row],[Quantity]]</f>
        <v>2000.1</v>
      </c>
      <c r="M21">
        <f t="shared" si="0"/>
        <v>1.3865</v>
      </c>
    </row>
    <row r="22" spans="1:13">
      <c r="A22" s="11">
        <v>10474</v>
      </c>
      <c r="B22" s="12">
        <v>44876</v>
      </c>
      <c r="C22" t="s">
        <v>19</v>
      </c>
      <c r="D22" s="11">
        <v>4.99</v>
      </c>
      <c r="E22" s="13">
        <v>201</v>
      </c>
      <c r="F22" s="11">
        <v>2.25</v>
      </c>
      <c r="G22" t="e">
        <v>#VALUE!</v>
      </c>
      <c r="H22" t="e" cm="1">
        <f t="array" ref="H22">_FV(G22,"Country/region",TRUE)</f>
        <v>#NAME?</v>
      </c>
      <c r="I22" t="s">
        <v>20</v>
      </c>
      <c r="J22" t="s">
        <v>23</v>
      </c>
      <c r="K22" t="s">
        <v>18</v>
      </c>
      <c r="L22">
        <f>Table1[[#This Row],[Price]]*Table1[[#This Row],[Quantity]]</f>
        <v>1002.99</v>
      </c>
      <c r="M22">
        <f t="shared" si="0"/>
        <v>11.2275</v>
      </c>
    </row>
    <row r="23" spans="1:13">
      <c r="A23" s="11">
        <v>10475</v>
      </c>
      <c r="B23" s="12">
        <v>44877</v>
      </c>
      <c r="C23" t="s">
        <v>22</v>
      </c>
      <c r="D23" s="11">
        <v>12.99</v>
      </c>
      <c r="E23" s="13">
        <v>524</v>
      </c>
      <c r="F23" s="11">
        <v>4.32</v>
      </c>
      <c r="G23" t="e">
        <v>#VALUE!</v>
      </c>
      <c r="H23" t="e" cm="1">
        <f t="array" ref="H23">_FV(G23,"Country/region",TRUE)</f>
        <v>#NAME?</v>
      </c>
      <c r="I23" t="s">
        <v>20</v>
      </c>
      <c r="J23" t="s">
        <v>23</v>
      </c>
      <c r="K23" t="s">
        <v>18</v>
      </c>
      <c r="L23">
        <f>Table1[[#This Row],[Price]]*Table1[[#This Row],[Quantity]]</f>
        <v>6806.76</v>
      </c>
      <c r="M23">
        <f t="shared" si="0"/>
        <v>56.1168</v>
      </c>
    </row>
    <row r="24" spans="1:13">
      <c r="A24" s="11">
        <v>10476</v>
      </c>
      <c r="B24" s="12">
        <v>44877</v>
      </c>
      <c r="C24" t="s">
        <v>25</v>
      </c>
      <c r="D24" s="11">
        <v>9.95</v>
      </c>
      <c r="E24" s="13">
        <v>202</v>
      </c>
      <c r="F24" s="11">
        <v>2.85</v>
      </c>
      <c r="G24" t="e">
        <v>#VALUE!</v>
      </c>
      <c r="H24" t="e" cm="1">
        <f t="array" ref="H24">_FV(G24,"Country/region",TRUE)</f>
        <v>#NAME?</v>
      </c>
      <c r="I24" t="s">
        <v>20</v>
      </c>
      <c r="J24" t="s">
        <v>23</v>
      </c>
      <c r="K24" t="s">
        <v>18</v>
      </c>
      <c r="L24">
        <f>Table1[[#This Row],[Price]]*Table1[[#This Row],[Quantity]]</f>
        <v>2009.9</v>
      </c>
      <c r="M24">
        <f t="shared" si="0"/>
        <v>28.3575</v>
      </c>
    </row>
    <row r="25" spans="1:13">
      <c r="A25" s="11">
        <v>10477</v>
      </c>
      <c r="B25" s="12">
        <v>44877</v>
      </c>
      <c r="C25" t="s">
        <v>13</v>
      </c>
      <c r="D25" s="11">
        <v>3.49</v>
      </c>
      <c r="E25" s="13">
        <v>631</v>
      </c>
      <c r="F25" s="11">
        <v>0.88</v>
      </c>
      <c r="G25" t="e">
        <v>#VALUE!</v>
      </c>
      <c r="H25" t="e" cm="1">
        <f t="array" ref="H25">_FV(G25,"Country/region",TRUE)</f>
        <v>#NAME?</v>
      </c>
      <c r="I25" t="s">
        <v>20</v>
      </c>
      <c r="J25" t="s">
        <v>23</v>
      </c>
      <c r="K25" t="s">
        <v>18</v>
      </c>
      <c r="L25">
        <f>Table1[[#This Row],[Price]]*Table1[[#This Row],[Quantity]]</f>
        <v>2202.19</v>
      </c>
      <c r="M25">
        <f t="shared" si="0"/>
        <v>3.0712</v>
      </c>
    </row>
    <row r="26" spans="1:13">
      <c r="A26" s="11">
        <v>10478</v>
      </c>
      <c r="B26" s="12">
        <v>44877</v>
      </c>
      <c r="C26" t="s">
        <v>17</v>
      </c>
      <c r="D26" s="11">
        <v>2.95</v>
      </c>
      <c r="E26" s="13">
        <v>678</v>
      </c>
      <c r="F26" s="11">
        <v>0.47</v>
      </c>
      <c r="G26" t="e">
        <v>#VALUE!</v>
      </c>
      <c r="H26" t="e" cm="1">
        <f t="array" ref="H26">_FV(G26,"Country/region",TRUE)</f>
        <v>#NAME?</v>
      </c>
      <c r="I26" t="s">
        <v>20</v>
      </c>
      <c r="J26" t="s">
        <v>23</v>
      </c>
      <c r="K26" t="s">
        <v>18</v>
      </c>
      <c r="L26">
        <f>Table1[[#This Row],[Price]]*Table1[[#This Row],[Quantity]]</f>
        <v>2000.1</v>
      </c>
      <c r="M26">
        <f t="shared" si="0"/>
        <v>1.3865</v>
      </c>
    </row>
    <row r="27" spans="1:13">
      <c r="A27" s="11">
        <v>10479</v>
      </c>
      <c r="B27" s="12">
        <v>44877</v>
      </c>
      <c r="C27" t="s">
        <v>19</v>
      </c>
      <c r="D27" s="11">
        <v>4.99</v>
      </c>
      <c r="E27" s="13">
        <v>201</v>
      </c>
      <c r="F27" s="11">
        <v>2.25</v>
      </c>
      <c r="G27" t="e">
        <v>#VALUE!</v>
      </c>
      <c r="H27" t="e" cm="1">
        <f t="array" ref="H27">_FV(G27,"Country/region",TRUE)</f>
        <v>#NAME?</v>
      </c>
      <c r="I27" t="s">
        <v>20</v>
      </c>
      <c r="J27" t="s">
        <v>23</v>
      </c>
      <c r="K27" t="s">
        <v>18</v>
      </c>
      <c r="L27">
        <f>Table1[[#This Row],[Price]]*Table1[[#This Row],[Quantity]]</f>
        <v>1002.99</v>
      </c>
      <c r="M27">
        <f t="shared" si="0"/>
        <v>11.2275</v>
      </c>
    </row>
    <row r="28" spans="1:13">
      <c r="A28" s="11">
        <v>10480</v>
      </c>
      <c r="B28" s="12">
        <v>44878</v>
      </c>
      <c r="C28" t="s">
        <v>22</v>
      </c>
      <c r="D28" s="11">
        <v>12.99</v>
      </c>
      <c r="E28" s="13">
        <v>509</v>
      </c>
      <c r="F28" s="11">
        <v>4.32</v>
      </c>
      <c r="G28" t="e">
        <v>#VALUE!</v>
      </c>
      <c r="H28" t="e" cm="1">
        <f t="array" ref="H28">_FV(G28,"Country/region",TRUE)</f>
        <v>#NAME?</v>
      </c>
      <c r="I28" t="s">
        <v>20</v>
      </c>
      <c r="J28" t="s">
        <v>23</v>
      </c>
      <c r="K28" t="s">
        <v>18</v>
      </c>
      <c r="L28">
        <f>Table1[[#This Row],[Price]]*Table1[[#This Row],[Quantity]]</f>
        <v>6611.91</v>
      </c>
      <c r="M28">
        <f t="shared" si="0"/>
        <v>56.1168</v>
      </c>
    </row>
    <row r="29" spans="1:13">
      <c r="A29" s="11">
        <v>10481</v>
      </c>
      <c r="B29" s="12">
        <v>44878</v>
      </c>
      <c r="C29" t="s">
        <v>25</v>
      </c>
      <c r="D29" s="11">
        <v>9.95</v>
      </c>
      <c r="E29" s="13">
        <v>202</v>
      </c>
      <c r="F29" s="11">
        <v>2.85</v>
      </c>
      <c r="G29" t="e">
        <v>#VALUE!</v>
      </c>
      <c r="H29" t="e" cm="1">
        <f t="array" ref="H29">_FV(G29,"Country/region",TRUE)</f>
        <v>#NAME?</v>
      </c>
      <c r="I29" t="s">
        <v>20</v>
      </c>
      <c r="J29" t="s">
        <v>23</v>
      </c>
      <c r="K29" t="s">
        <v>18</v>
      </c>
      <c r="L29">
        <f>Table1[[#This Row],[Price]]*Table1[[#This Row],[Quantity]]</f>
        <v>2009.9</v>
      </c>
      <c r="M29">
        <f t="shared" si="0"/>
        <v>28.3575</v>
      </c>
    </row>
    <row r="30" spans="1:13">
      <c r="A30" s="11">
        <v>10482</v>
      </c>
      <c r="B30" s="12">
        <v>44878</v>
      </c>
      <c r="C30" t="s">
        <v>13</v>
      </c>
      <c r="D30" s="11">
        <v>25.5</v>
      </c>
      <c r="E30" s="13">
        <v>631</v>
      </c>
      <c r="F30" s="11">
        <v>0.88</v>
      </c>
      <c r="G30" t="e">
        <v>#VALUE!</v>
      </c>
      <c r="H30" t="e" cm="1">
        <f t="array" ref="H30">_FV(G30,"Country/region",TRUE)</f>
        <v>#NAME?</v>
      </c>
      <c r="I30" t="s">
        <v>20</v>
      </c>
      <c r="J30" t="s">
        <v>23</v>
      </c>
      <c r="K30" t="s">
        <v>21</v>
      </c>
      <c r="L30">
        <f>Table1[[#This Row],[Price]]*Table1[[#This Row],[Quantity]]</f>
        <v>16090.5</v>
      </c>
      <c r="M30">
        <f t="shared" si="0"/>
        <v>22.44</v>
      </c>
    </row>
    <row r="31" spans="1:13">
      <c r="A31" s="11">
        <v>10483</v>
      </c>
      <c r="B31" s="12">
        <v>44878</v>
      </c>
      <c r="C31" t="s">
        <v>17</v>
      </c>
      <c r="D31" s="11">
        <v>33.22</v>
      </c>
      <c r="E31" s="13">
        <v>678</v>
      </c>
      <c r="F31" s="11">
        <v>0.47</v>
      </c>
      <c r="G31" t="e">
        <v>#VALUE!</v>
      </c>
      <c r="H31" t="e" cm="1">
        <f t="array" ref="H31">_FV(G31,"Country/region",TRUE)</f>
        <v>#NAME?</v>
      </c>
      <c r="I31" t="s">
        <v>20</v>
      </c>
      <c r="J31" t="s">
        <v>23</v>
      </c>
      <c r="K31" t="s">
        <v>21</v>
      </c>
      <c r="L31">
        <f>Table1[[#This Row],[Price]]*Table1[[#This Row],[Quantity]]</f>
        <v>22523.16</v>
      </c>
      <c r="M31">
        <f t="shared" si="0"/>
        <v>15.6134</v>
      </c>
    </row>
    <row r="32" spans="1:13">
      <c r="A32" s="11">
        <v>10484</v>
      </c>
      <c r="B32" s="12">
        <v>44878</v>
      </c>
      <c r="C32" t="s">
        <v>19</v>
      </c>
      <c r="D32" s="11">
        <v>21.44</v>
      </c>
      <c r="E32" s="13">
        <v>201</v>
      </c>
      <c r="F32" s="11">
        <v>2.25</v>
      </c>
      <c r="G32" t="e">
        <v>#VALUE!</v>
      </c>
      <c r="H32" t="e" cm="1">
        <f t="array" ref="H32">_FV(G32,"Country/region",TRUE)</f>
        <v>#NAME?</v>
      </c>
      <c r="I32" t="s">
        <v>20</v>
      </c>
      <c r="J32" t="s">
        <v>23</v>
      </c>
      <c r="K32" t="s">
        <v>21</v>
      </c>
      <c r="L32">
        <f>Table1[[#This Row],[Price]]*Table1[[#This Row],[Quantity]]</f>
        <v>4309.44</v>
      </c>
      <c r="M32">
        <f t="shared" si="0"/>
        <v>48.24</v>
      </c>
    </row>
    <row r="33" spans="1:13">
      <c r="A33" s="11">
        <v>10485</v>
      </c>
      <c r="B33" s="12">
        <v>44879</v>
      </c>
      <c r="C33" t="s">
        <v>22</v>
      </c>
      <c r="D33" s="11">
        <v>27.99</v>
      </c>
      <c r="E33" s="13">
        <v>524</v>
      </c>
      <c r="F33" s="11">
        <v>4.32</v>
      </c>
      <c r="G33" t="e">
        <v>#VALUE!</v>
      </c>
      <c r="H33" t="e" cm="1">
        <f t="array" ref="H33">_FV(G33,"Country/region",TRUE)</f>
        <v>#NAME?</v>
      </c>
      <c r="I33" t="s">
        <v>20</v>
      </c>
      <c r="J33" t="s">
        <v>23</v>
      </c>
      <c r="K33" t="s">
        <v>21</v>
      </c>
      <c r="L33">
        <f>Table1[[#This Row],[Price]]*Table1[[#This Row],[Quantity]]</f>
        <v>14666.76</v>
      </c>
      <c r="M33">
        <f t="shared" si="0"/>
        <v>120.9168</v>
      </c>
    </row>
    <row r="34" spans="1:13">
      <c r="A34" s="11">
        <v>10486</v>
      </c>
      <c r="B34" s="12">
        <v>44879</v>
      </c>
      <c r="C34" t="s">
        <v>25</v>
      </c>
      <c r="D34" s="11">
        <v>29.05</v>
      </c>
      <c r="E34" s="13">
        <v>202</v>
      </c>
      <c r="F34" s="11">
        <v>2.85</v>
      </c>
      <c r="G34" t="e">
        <v>#VALUE!</v>
      </c>
      <c r="H34" t="e" cm="1">
        <f t="array" ref="H34">_FV(G34,"Country/region",TRUE)</f>
        <v>#NAME?</v>
      </c>
      <c r="I34" t="s">
        <v>20</v>
      </c>
      <c r="J34" t="s">
        <v>23</v>
      </c>
      <c r="K34" t="s">
        <v>21</v>
      </c>
      <c r="L34">
        <f>Table1[[#This Row],[Price]]*Table1[[#This Row],[Quantity]]</f>
        <v>5868.1</v>
      </c>
      <c r="M34">
        <f t="shared" si="0"/>
        <v>82.7925</v>
      </c>
    </row>
    <row r="35" spans="1:13">
      <c r="A35" s="11">
        <v>10487</v>
      </c>
      <c r="B35" s="12">
        <v>44879</v>
      </c>
      <c r="C35" t="s">
        <v>13</v>
      </c>
      <c r="D35" s="11">
        <v>3.49</v>
      </c>
      <c r="E35" s="13">
        <v>631</v>
      </c>
      <c r="F35" s="11">
        <v>0.88</v>
      </c>
      <c r="G35" t="e">
        <v>#VALUE!</v>
      </c>
      <c r="H35" t="e" cm="1">
        <f t="array" ref="H35">_FV(G35,"Country/region",TRUE)</f>
        <v>#NAME?</v>
      </c>
      <c r="I35" t="s">
        <v>20</v>
      </c>
      <c r="J35" t="s">
        <v>23</v>
      </c>
      <c r="K35" t="s">
        <v>21</v>
      </c>
      <c r="L35">
        <f>Table1[[#This Row],[Price]]*Table1[[#This Row],[Quantity]]</f>
        <v>2202.19</v>
      </c>
      <c r="M35">
        <f t="shared" si="0"/>
        <v>3.0712</v>
      </c>
    </row>
    <row r="36" spans="1:13">
      <c r="A36" s="11">
        <v>10488</v>
      </c>
      <c r="B36" s="12">
        <v>44879</v>
      </c>
      <c r="C36" t="s">
        <v>17</v>
      </c>
      <c r="D36" s="11">
        <v>2.95</v>
      </c>
      <c r="E36" s="13">
        <v>678</v>
      </c>
      <c r="F36" s="11">
        <v>0.47</v>
      </c>
      <c r="G36" t="e">
        <v>#VALUE!</v>
      </c>
      <c r="H36" t="e" cm="1">
        <f t="array" ref="H36">_FV(G36,"Country/region",TRUE)</f>
        <v>#NAME?</v>
      </c>
      <c r="I36" t="s">
        <v>20</v>
      </c>
      <c r="J36" t="s">
        <v>23</v>
      </c>
      <c r="K36" t="s">
        <v>21</v>
      </c>
      <c r="L36">
        <f>Table1[[#This Row],[Price]]*Table1[[#This Row],[Quantity]]</f>
        <v>2000.1</v>
      </c>
      <c r="M36">
        <f t="shared" si="0"/>
        <v>1.3865</v>
      </c>
    </row>
    <row r="37" spans="1:13">
      <c r="A37" s="11">
        <v>10489</v>
      </c>
      <c r="B37" s="12">
        <v>44879</v>
      </c>
      <c r="C37" t="s">
        <v>19</v>
      </c>
      <c r="D37" s="11">
        <v>4.99</v>
      </c>
      <c r="E37" s="13">
        <v>201</v>
      </c>
      <c r="F37" s="11">
        <v>2.25</v>
      </c>
      <c r="G37" t="e">
        <v>#VALUE!</v>
      </c>
      <c r="H37" t="e" cm="1">
        <f t="array" ref="H37">_FV(G37,"Country/region",TRUE)</f>
        <v>#NAME?</v>
      </c>
      <c r="I37" t="s">
        <v>20</v>
      </c>
      <c r="J37" t="s">
        <v>23</v>
      </c>
      <c r="K37" t="s">
        <v>18</v>
      </c>
      <c r="L37">
        <f>Table1[[#This Row],[Price]]*Table1[[#This Row],[Quantity]]</f>
        <v>1002.99</v>
      </c>
      <c r="M37">
        <f t="shared" si="0"/>
        <v>11.2275</v>
      </c>
    </row>
    <row r="38" spans="1:13">
      <c r="A38" s="11">
        <v>10490</v>
      </c>
      <c r="B38" s="12">
        <v>44880</v>
      </c>
      <c r="C38" t="s">
        <v>22</v>
      </c>
      <c r="D38" s="11">
        <v>12.99</v>
      </c>
      <c r="E38" s="13">
        <v>509</v>
      </c>
      <c r="F38" s="11">
        <v>4.32</v>
      </c>
      <c r="G38" t="e">
        <v>#VALUE!</v>
      </c>
      <c r="H38" t="e" cm="1">
        <f t="array" ref="H38">_FV(G38,"Country/region",TRUE)</f>
        <v>#NAME?</v>
      </c>
      <c r="I38" t="s">
        <v>20</v>
      </c>
      <c r="J38" t="s">
        <v>23</v>
      </c>
      <c r="K38" t="s">
        <v>18</v>
      </c>
      <c r="L38">
        <f>Table1[[#This Row],[Price]]*Table1[[#This Row],[Quantity]]</f>
        <v>6611.91</v>
      </c>
      <c r="M38">
        <f t="shared" si="0"/>
        <v>56.1168</v>
      </c>
    </row>
    <row r="39" spans="1:13">
      <c r="A39" s="11">
        <v>10491</v>
      </c>
      <c r="B39" s="12">
        <v>44880</v>
      </c>
      <c r="C39" t="s">
        <v>25</v>
      </c>
      <c r="D39" s="11">
        <v>9.95</v>
      </c>
      <c r="E39" s="13">
        <v>202</v>
      </c>
      <c r="F39" s="11">
        <v>2.85</v>
      </c>
      <c r="G39" t="e">
        <v>#VALUE!</v>
      </c>
      <c r="H39" t="e" cm="1">
        <f t="array" ref="H39">_FV(G39,"Country/region",TRUE)</f>
        <v>#NAME?</v>
      </c>
      <c r="I39" t="s">
        <v>20</v>
      </c>
      <c r="J39" t="s">
        <v>23</v>
      </c>
      <c r="K39" t="s">
        <v>18</v>
      </c>
      <c r="L39">
        <f>Table1[[#This Row],[Price]]*Table1[[#This Row],[Quantity]]</f>
        <v>2009.9</v>
      </c>
      <c r="M39">
        <f t="shared" si="0"/>
        <v>28.3575</v>
      </c>
    </row>
    <row r="40" spans="1:13">
      <c r="A40" s="11">
        <v>10492</v>
      </c>
      <c r="B40" s="12">
        <v>44880</v>
      </c>
      <c r="C40" t="s">
        <v>13</v>
      </c>
      <c r="D40" s="11">
        <v>3.49</v>
      </c>
      <c r="E40" s="13">
        <v>574</v>
      </c>
      <c r="F40" s="11">
        <v>0.88</v>
      </c>
      <c r="G40" t="e">
        <v>#VALUE!</v>
      </c>
      <c r="H40" t="e" cm="1">
        <f t="array" ref="H40">_FV(G40,"Country/region",TRUE)</f>
        <v>#NAME?</v>
      </c>
      <c r="I40" t="s">
        <v>20</v>
      </c>
      <c r="J40" t="s">
        <v>23</v>
      </c>
      <c r="K40" t="s">
        <v>18</v>
      </c>
      <c r="L40">
        <f>Table1[[#This Row],[Price]]*Table1[[#This Row],[Quantity]]</f>
        <v>2003.26</v>
      </c>
      <c r="M40">
        <f t="shared" si="0"/>
        <v>3.0712</v>
      </c>
    </row>
    <row r="41" spans="1:13">
      <c r="A41" s="11">
        <v>10493</v>
      </c>
      <c r="B41" s="12">
        <v>44880</v>
      </c>
      <c r="C41" t="s">
        <v>17</v>
      </c>
      <c r="D41" s="11">
        <v>2.95</v>
      </c>
      <c r="E41" s="13">
        <v>678</v>
      </c>
      <c r="F41" s="11">
        <v>0.47</v>
      </c>
      <c r="G41" t="e">
        <v>#VALUE!</v>
      </c>
      <c r="H41" t="e" cm="1">
        <f t="array" ref="H41">_FV(G41,"Country/region",TRUE)</f>
        <v>#NAME?</v>
      </c>
      <c r="I41" t="s">
        <v>20</v>
      </c>
      <c r="J41" t="s">
        <v>23</v>
      </c>
      <c r="K41" t="s">
        <v>18</v>
      </c>
      <c r="L41">
        <f>Table1[[#This Row],[Price]]*Table1[[#This Row],[Quantity]]</f>
        <v>2000.1</v>
      </c>
      <c r="M41">
        <f t="shared" si="0"/>
        <v>1.3865</v>
      </c>
    </row>
    <row r="42" spans="1:13">
      <c r="A42" s="11">
        <v>10494</v>
      </c>
      <c r="B42" s="12">
        <v>44880</v>
      </c>
      <c r="C42" t="s">
        <v>19</v>
      </c>
      <c r="D42" s="11">
        <v>4.99</v>
      </c>
      <c r="E42" s="13">
        <v>201</v>
      </c>
      <c r="F42" s="11">
        <v>2.25</v>
      </c>
      <c r="G42" t="e">
        <v>#VALUE!</v>
      </c>
      <c r="H42" t="e" cm="1">
        <f t="array" ref="H42">_FV(G42,"Country/region",TRUE)</f>
        <v>#NAME?</v>
      </c>
      <c r="I42" t="s">
        <v>20</v>
      </c>
      <c r="J42" t="s">
        <v>23</v>
      </c>
      <c r="K42" t="s">
        <v>18</v>
      </c>
      <c r="L42">
        <f>Table1[[#This Row],[Price]]*Table1[[#This Row],[Quantity]]</f>
        <v>1002.99</v>
      </c>
      <c r="M42">
        <f t="shared" si="0"/>
        <v>11.2275</v>
      </c>
    </row>
    <row r="43" spans="1:13">
      <c r="A43" s="11">
        <v>10495</v>
      </c>
      <c r="B43" s="12">
        <v>44881</v>
      </c>
      <c r="C43" t="s">
        <v>22</v>
      </c>
      <c r="D43" s="11">
        <v>12.99</v>
      </c>
      <c r="E43" s="13">
        <v>509</v>
      </c>
      <c r="F43" s="11">
        <v>4.32</v>
      </c>
      <c r="G43" t="e">
        <v>#VALUE!</v>
      </c>
      <c r="H43" t="e" cm="1">
        <f t="array" ref="H43">_FV(G43,"Country/region",TRUE)</f>
        <v>#NAME?</v>
      </c>
      <c r="I43" t="s">
        <v>20</v>
      </c>
      <c r="J43" t="s">
        <v>23</v>
      </c>
      <c r="K43" t="s">
        <v>18</v>
      </c>
      <c r="L43">
        <f>Table1[[#This Row],[Price]]*Table1[[#This Row],[Quantity]]</f>
        <v>6611.91</v>
      </c>
      <c r="M43">
        <f t="shared" si="0"/>
        <v>56.1168</v>
      </c>
    </row>
    <row r="44" spans="1:13">
      <c r="A44" s="11">
        <v>10496</v>
      </c>
      <c r="B44" s="12">
        <v>44881</v>
      </c>
      <c r="C44" t="s">
        <v>25</v>
      </c>
      <c r="D44" s="11">
        <v>9.95</v>
      </c>
      <c r="E44" s="13">
        <v>202</v>
      </c>
      <c r="F44" s="11">
        <v>2.85</v>
      </c>
      <c r="G44" t="e">
        <v>#VALUE!</v>
      </c>
      <c r="H44" t="e" cm="1">
        <f t="array" ref="H44">_FV(G44,"Country/region",TRUE)</f>
        <v>#NAME?</v>
      </c>
      <c r="I44" t="s">
        <v>20</v>
      </c>
      <c r="J44" t="s">
        <v>23</v>
      </c>
      <c r="K44" t="s">
        <v>18</v>
      </c>
      <c r="L44">
        <f>Table1[[#This Row],[Price]]*Table1[[#This Row],[Quantity]]</f>
        <v>2009.9</v>
      </c>
      <c r="M44">
        <f t="shared" si="0"/>
        <v>28.3575</v>
      </c>
    </row>
    <row r="45" spans="1:13">
      <c r="A45" s="11">
        <v>10497</v>
      </c>
      <c r="B45" s="12">
        <v>44881</v>
      </c>
      <c r="C45" t="s">
        <v>13</v>
      </c>
      <c r="D45" s="11">
        <v>3.49</v>
      </c>
      <c r="E45" s="13">
        <v>574</v>
      </c>
      <c r="F45" s="11">
        <v>0.88</v>
      </c>
      <c r="G45" t="e">
        <v>#VALUE!</v>
      </c>
      <c r="H45" t="e" cm="1">
        <f t="array" ref="H45">_FV(G45,"Country/region",TRUE)</f>
        <v>#NAME?</v>
      </c>
      <c r="I45" t="s">
        <v>20</v>
      </c>
      <c r="J45" t="s">
        <v>23</v>
      </c>
      <c r="K45" t="s">
        <v>18</v>
      </c>
      <c r="L45">
        <f>Table1[[#This Row],[Price]]*Table1[[#This Row],[Quantity]]</f>
        <v>2003.26</v>
      </c>
      <c r="M45">
        <f t="shared" si="0"/>
        <v>3.0712</v>
      </c>
    </row>
    <row r="46" spans="1:13">
      <c r="A46" s="11">
        <v>10498</v>
      </c>
      <c r="B46" s="12">
        <v>44881</v>
      </c>
      <c r="C46" t="s">
        <v>17</v>
      </c>
      <c r="D46" s="11">
        <v>2.95</v>
      </c>
      <c r="E46" s="13">
        <v>678</v>
      </c>
      <c r="F46" s="11">
        <v>0.47</v>
      </c>
      <c r="G46" t="e">
        <v>#VALUE!</v>
      </c>
      <c r="H46" t="e" cm="1">
        <f t="array" ref="H46">_FV(G46,"Country/region",TRUE)</f>
        <v>#NAME?</v>
      </c>
      <c r="I46" t="s">
        <v>27</v>
      </c>
      <c r="J46" t="s">
        <v>23</v>
      </c>
      <c r="K46" t="s">
        <v>18</v>
      </c>
      <c r="L46">
        <f>Table1[[#This Row],[Price]]*Table1[[#This Row],[Quantity]]</f>
        <v>2000.1</v>
      </c>
      <c r="M46">
        <f t="shared" si="0"/>
        <v>1.3865</v>
      </c>
    </row>
    <row r="47" spans="1:13">
      <c r="A47" s="11">
        <v>10499</v>
      </c>
      <c r="B47" s="12">
        <v>44881</v>
      </c>
      <c r="C47" t="s">
        <v>19</v>
      </c>
      <c r="D47" s="11">
        <v>4.99</v>
      </c>
      <c r="E47" s="13">
        <v>201</v>
      </c>
      <c r="F47" s="11">
        <v>2.25</v>
      </c>
      <c r="G47" t="e">
        <v>#VALUE!</v>
      </c>
      <c r="H47" t="e" cm="1">
        <f t="array" ref="H47">_FV(G47,"Country/region",TRUE)</f>
        <v>#NAME?</v>
      </c>
      <c r="I47" t="s">
        <v>27</v>
      </c>
      <c r="J47" t="s">
        <v>23</v>
      </c>
      <c r="K47" t="s">
        <v>18</v>
      </c>
      <c r="L47">
        <f>Table1[[#This Row],[Price]]*Table1[[#This Row],[Quantity]]</f>
        <v>1002.99</v>
      </c>
      <c r="M47">
        <f t="shared" si="0"/>
        <v>11.2275</v>
      </c>
    </row>
    <row r="48" spans="1:13">
      <c r="A48" s="11">
        <v>10500</v>
      </c>
      <c r="B48" s="12">
        <v>44882</v>
      </c>
      <c r="C48" t="s">
        <v>22</v>
      </c>
      <c r="D48" s="11">
        <v>12.99</v>
      </c>
      <c r="E48" s="13">
        <v>524</v>
      </c>
      <c r="F48" s="11">
        <v>4.32</v>
      </c>
      <c r="G48" t="e">
        <v>#VALUE!</v>
      </c>
      <c r="H48" t="e" cm="1">
        <f t="array" ref="H48">_FV(G48,"Country/region",TRUE)</f>
        <v>#NAME?</v>
      </c>
      <c r="I48" t="s">
        <v>27</v>
      </c>
      <c r="J48" t="s">
        <v>23</v>
      </c>
      <c r="K48" t="s">
        <v>18</v>
      </c>
      <c r="L48">
        <f>Table1[[#This Row],[Price]]*Table1[[#This Row],[Quantity]]</f>
        <v>6806.76</v>
      </c>
      <c r="M48">
        <f t="shared" si="0"/>
        <v>56.1168</v>
      </c>
    </row>
    <row r="49" spans="1:13">
      <c r="A49" s="11">
        <v>10501</v>
      </c>
      <c r="B49" s="12">
        <v>44882</v>
      </c>
      <c r="C49" t="s">
        <v>25</v>
      </c>
      <c r="D49" s="11">
        <v>9.95</v>
      </c>
      <c r="E49" s="13">
        <v>202</v>
      </c>
      <c r="F49" s="11">
        <v>2.85</v>
      </c>
      <c r="G49" t="e">
        <v>#VALUE!</v>
      </c>
      <c r="H49" t="e" cm="1">
        <f t="array" ref="H49">_FV(G49,"Country/region",TRUE)</f>
        <v>#NAME?</v>
      </c>
      <c r="I49" t="s">
        <v>27</v>
      </c>
      <c r="J49" t="s">
        <v>23</v>
      </c>
      <c r="K49" t="s">
        <v>18</v>
      </c>
      <c r="L49">
        <f>Table1[[#This Row],[Price]]*Table1[[#This Row],[Quantity]]</f>
        <v>2009.9</v>
      </c>
      <c r="M49">
        <f t="shared" si="0"/>
        <v>28.3575</v>
      </c>
    </row>
    <row r="50" spans="1:13">
      <c r="A50" s="11">
        <v>10502</v>
      </c>
      <c r="B50" s="12">
        <v>44882</v>
      </c>
      <c r="C50" t="s">
        <v>13</v>
      </c>
      <c r="D50" s="11">
        <v>3.49</v>
      </c>
      <c r="E50" s="13">
        <v>631</v>
      </c>
      <c r="F50" s="11">
        <v>0.88</v>
      </c>
      <c r="G50" t="e">
        <v>#VALUE!</v>
      </c>
      <c r="H50" t="e" cm="1">
        <f t="array" ref="H50">_FV(G50,"Country/region",TRUE)</f>
        <v>#NAME?</v>
      </c>
      <c r="I50" t="s">
        <v>27</v>
      </c>
      <c r="J50" t="s">
        <v>23</v>
      </c>
      <c r="K50" t="s">
        <v>18</v>
      </c>
      <c r="L50">
        <f>Table1[[#This Row],[Price]]*Table1[[#This Row],[Quantity]]</f>
        <v>2202.19</v>
      </c>
      <c r="M50">
        <f t="shared" si="0"/>
        <v>3.0712</v>
      </c>
    </row>
    <row r="51" spans="1:13">
      <c r="A51" s="11">
        <v>10503</v>
      </c>
      <c r="B51" s="12">
        <v>44882</v>
      </c>
      <c r="C51" t="s">
        <v>17</v>
      </c>
      <c r="D51" s="11">
        <v>2.95</v>
      </c>
      <c r="E51" s="13">
        <v>678</v>
      </c>
      <c r="F51" s="11">
        <v>0.47</v>
      </c>
      <c r="G51" t="e">
        <v>#VALUE!</v>
      </c>
      <c r="H51" t="e" cm="1">
        <f t="array" ref="H51">_FV(G51,"Country/region",TRUE)</f>
        <v>#NAME?</v>
      </c>
      <c r="I51" t="s">
        <v>27</v>
      </c>
      <c r="J51" t="s">
        <v>23</v>
      </c>
      <c r="K51" t="s">
        <v>18</v>
      </c>
      <c r="L51">
        <f>Table1[[#This Row],[Price]]*Table1[[#This Row],[Quantity]]</f>
        <v>2000.1</v>
      </c>
      <c r="M51">
        <f t="shared" si="0"/>
        <v>1.3865</v>
      </c>
    </row>
    <row r="52" spans="1:13">
      <c r="A52" s="11">
        <v>10504</v>
      </c>
      <c r="B52" s="12">
        <v>44882</v>
      </c>
      <c r="C52" t="s">
        <v>19</v>
      </c>
      <c r="D52" s="11">
        <v>4.99</v>
      </c>
      <c r="E52" s="13">
        <v>201</v>
      </c>
      <c r="F52" s="11">
        <v>2.25</v>
      </c>
      <c r="G52" t="e">
        <v>#VALUE!</v>
      </c>
      <c r="H52" t="e" cm="1">
        <f t="array" ref="H52">_FV(G52,"Country/region",TRUE)</f>
        <v>#NAME?</v>
      </c>
      <c r="I52" t="s">
        <v>27</v>
      </c>
      <c r="J52" t="s">
        <v>23</v>
      </c>
      <c r="K52" t="s">
        <v>18</v>
      </c>
      <c r="L52">
        <f>Table1[[#This Row],[Price]]*Table1[[#This Row],[Quantity]]</f>
        <v>1002.99</v>
      </c>
      <c r="M52">
        <f t="shared" si="0"/>
        <v>11.2275</v>
      </c>
    </row>
    <row r="53" spans="1:13">
      <c r="A53" s="11">
        <v>10505</v>
      </c>
      <c r="B53" s="12">
        <v>44883</v>
      </c>
      <c r="C53" t="s">
        <v>22</v>
      </c>
      <c r="D53" s="11">
        <v>12.99</v>
      </c>
      <c r="E53" s="13">
        <v>539</v>
      </c>
      <c r="F53" s="11">
        <v>4.32</v>
      </c>
      <c r="G53" t="e">
        <v>#VALUE!</v>
      </c>
      <c r="H53" t="e" cm="1">
        <f t="array" ref="H53">_FV(G53,"Country/region",TRUE)</f>
        <v>#NAME?</v>
      </c>
      <c r="I53" t="s">
        <v>27</v>
      </c>
      <c r="J53" t="s">
        <v>23</v>
      </c>
      <c r="K53" t="s">
        <v>18</v>
      </c>
      <c r="L53">
        <f>Table1[[#This Row],[Price]]*Table1[[#This Row],[Quantity]]</f>
        <v>7001.61</v>
      </c>
      <c r="M53">
        <f t="shared" si="0"/>
        <v>56.1168</v>
      </c>
    </row>
    <row r="54" spans="1:13">
      <c r="A54" s="11">
        <v>10506</v>
      </c>
      <c r="B54" s="12">
        <v>44883</v>
      </c>
      <c r="C54" t="s">
        <v>25</v>
      </c>
      <c r="D54" s="11">
        <v>9.95</v>
      </c>
      <c r="E54" s="13">
        <v>202</v>
      </c>
      <c r="F54" s="11">
        <v>2.85</v>
      </c>
      <c r="G54" t="e">
        <v>#VALUE!</v>
      </c>
      <c r="H54" t="e" cm="1">
        <f t="array" ref="H54">_FV(G54,"Country/region",TRUE)</f>
        <v>#NAME?</v>
      </c>
      <c r="I54" t="s">
        <v>27</v>
      </c>
      <c r="J54" t="s">
        <v>23</v>
      </c>
      <c r="K54" t="s">
        <v>18</v>
      </c>
      <c r="L54">
        <f>Table1[[#This Row],[Price]]*Table1[[#This Row],[Quantity]]</f>
        <v>2009.9</v>
      </c>
      <c r="M54">
        <f t="shared" si="0"/>
        <v>28.3575</v>
      </c>
    </row>
    <row r="55" spans="1:13">
      <c r="A55" s="11">
        <v>10507</v>
      </c>
      <c r="B55" s="12">
        <v>44883</v>
      </c>
      <c r="C55" t="s">
        <v>13</v>
      </c>
      <c r="D55" s="11">
        <v>3.49</v>
      </c>
      <c r="E55" s="13">
        <v>688</v>
      </c>
      <c r="F55" s="11">
        <v>0.88</v>
      </c>
      <c r="G55" t="e">
        <v>#VALUE!</v>
      </c>
      <c r="H55" t="e" cm="1">
        <f t="array" ref="H55">_FV(G55,"Country/region",TRUE)</f>
        <v>#NAME?</v>
      </c>
      <c r="I55" t="s">
        <v>27</v>
      </c>
      <c r="J55" t="s">
        <v>23</v>
      </c>
      <c r="K55" t="s">
        <v>18</v>
      </c>
      <c r="L55">
        <f>Table1[[#This Row],[Price]]*Table1[[#This Row],[Quantity]]</f>
        <v>2401.12</v>
      </c>
      <c r="M55">
        <f t="shared" si="0"/>
        <v>3.0712</v>
      </c>
    </row>
    <row r="56" spans="1:13">
      <c r="A56" s="11">
        <v>10508</v>
      </c>
      <c r="B56" s="12">
        <v>44883</v>
      </c>
      <c r="C56" t="s">
        <v>17</v>
      </c>
      <c r="D56" s="11">
        <v>2.95</v>
      </c>
      <c r="E56" s="13">
        <v>678</v>
      </c>
      <c r="F56" s="11">
        <v>0.47</v>
      </c>
      <c r="G56" t="e">
        <v>#VALUE!</v>
      </c>
      <c r="H56" t="e" cm="1">
        <f t="array" ref="H56">_FV(G56,"Country/region",TRUE)</f>
        <v>#NAME?</v>
      </c>
      <c r="I56" t="s">
        <v>27</v>
      </c>
      <c r="J56" t="s">
        <v>23</v>
      </c>
      <c r="K56" t="s">
        <v>18</v>
      </c>
      <c r="L56">
        <f>Table1[[#This Row],[Price]]*Table1[[#This Row],[Quantity]]</f>
        <v>2000.1</v>
      </c>
      <c r="M56">
        <f t="shared" si="0"/>
        <v>1.3865</v>
      </c>
    </row>
    <row r="57" spans="1:13">
      <c r="A57" s="11">
        <v>10509</v>
      </c>
      <c r="B57" s="12">
        <v>44883</v>
      </c>
      <c r="C57" t="s">
        <v>19</v>
      </c>
      <c r="D57" s="11">
        <v>4.99</v>
      </c>
      <c r="E57" s="13">
        <v>201</v>
      </c>
      <c r="F57" s="11">
        <v>2.25</v>
      </c>
      <c r="G57" t="e">
        <v>#VALUE!</v>
      </c>
      <c r="H57" t="e" cm="1">
        <f t="array" ref="H57">_FV(G57,"Country/region",TRUE)</f>
        <v>#NAME?</v>
      </c>
      <c r="I57" t="s">
        <v>27</v>
      </c>
      <c r="J57" t="s">
        <v>23</v>
      </c>
      <c r="K57" t="s">
        <v>18</v>
      </c>
      <c r="L57">
        <f>Table1[[#This Row],[Price]]*Table1[[#This Row],[Quantity]]</f>
        <v>1002.99</v>
      </c>
      <c r="M57">
        <f t="shared" si="0"/>
        <v>11.2275</v>
      </c>
    </row>
    <row r="58" spans="1:13">
      <c r="A58" s="11">
        <v>10510</v>
      </c>
      <c r="B58" s="12">
        <v>44884</v>
      </c>
      <c r="C58" t="s">
        <v>22</v>
      </c>
      <c r="D58" s="11">
        <v>12.99</v>
      </c>
      <c r="E58" s="13">
        <v>509</v>
      </c>
      <c r="F58" s="11">
        <v>4.32</v>
      </c>
      <c r="G58" t="e">
        <v>#VALUE!</v>
      </c>
      <c r="H58" t="e" cm="1">
        <f t="array" ref="H58">_FV(G58,"Country/region",TRUE)</f>
        <v>#NAME?</v>
      </c>
      <c r="I58" t="s">
        <v>27</v>
      </c>
      <c r="J58" t="s">
        <v>23</v>
      </c>
      <c r="K58" t="s">
        <v>18</v>
      </c>
      <c r="L58">
        <f>Table1[[#This Row],[Price]]*Table1[[#This Row],[Quantity]]</f>
        <v>6611.91</v>
      </c>
      <c r="M58">
        <f t="shared" si="0"/>
        <v>56.1168</v>
      </c>
    </row>
    <row r="59" spans="1:13">
      <c r="A59" s="11">
        <v>10511</v>
      </c>
      <c r="B59" s="12">
        <v>44884</v>
      </c>
      <c r="C59" t="s">
        <v>25</v>
      </c>
      <c r="D59" s="11">
        <v>9.95</v>
      </c>
      <c r="E59" s="13">
        <v>202</v>
      </c>
      <c r="F59" s="11">
        <v>2.85</v>
      </c>
      <c r="G59" t="e">
        <v>#VALUE!</v>
      </c>
      <c r="H59" t="e" cm="1">
        <f t="array" ref="H59">_FV(G59,"Country/region",TRUE)</f>
        <v>#NAME?</v>
      </c>
      <c r="I59" t="s">
        <v>27</v>
      </c>
      <c r="J59" t="s">
        <v>23</v>
      </c>
      <c r="K59" t="s">
        <v>21</v>
      </c>
      <c r="L59">
        <f>Table1[[#This Row],[Price]]*Table1[[#This Row],[Quantity]]</f>
        <v>2009.9</v>
      </c>
      <c r="M59">
        <f t="shared" si="0"/>
        <v>28.3575</v>
      </c>
    </row>
    <row r="60" spans="1:13">
      <c r="A60" s="11">
        <v>10512</v>
      </c>
      <c r="B60" s="12">
        <v>44884</v>
      </c>
      <c r="C60" t="s">
        <v>13</v>
      </c>
      <c r="D60" s="11">
        <v>3.49</v>
      </c>
      <c r="E60" s="13">
        <v>688</v>
      </c>
      <c r="F60" s="11">
        <v>0.88</v>
      </c>
      <c r="G60" t="e">
        <v>#VALUE!</v>
      </c>
      <c r="H60" t="e" cm="1">
        <f t="array" ref="H60">_FV(G60,"Country/region",TRUE)</f>
        <v>#NAME?</v>
      </c>
      <c r="I60" t="s">
        <v>27</v>
      </c>
      <c r="J60" t="s">
        <v>23</v>
      </c>
      <c r="K60" t="s">
        <v>21</v>
      </c>
      <c r="L60">
        <f>Table1[[#This Row],[Price]]*Table1[[#This Row],[Quantity]]</f>
        <v>2401.12</v>
      </c>
      <c r="M60">
        <f t="shared" si="0"/>
        <v>3.0712</v>
      </c>
    </row>
    <row r="61" spans="1:13">
      <c r="A61" s="11">
        <v>10513</v>
      </c>
      <c r="B61" s="12">
        <v>44884</v>
      </c>
      <c r="C61" t="s">
        <v>17</v>
      </c>
      <c r="D61" s="11">
        <v>2.95</v>
      </c>
      <c r="E61" s="13">
        <v>678</v>
      </c>
      <c r="F61" s="11">
        <v>0.47</v>
      </c>
      <c r="G61" t="e">
        <v>#VALUE!</v>
      </c>
      <c r="H61" t="e" cm="1">
        <f t="array" ref="H61">_FV(G61,"Country/region",TRUE)</f>
        <v>#NAME?</v>
      </c>
      <c r="I61" t="s">
        <v>27</v>
      </c>
      <c r="J61" t="s">
        <v>28</v>
      </c>
      <c r="K61" t="s">
        <v>21</v>
      </c>
      <c r="L61">
        <f>Table1[[#This Row],[Price]]*Table1[[#This Row],[Quantity]]</f>
        <v>2000.1</v>
      </c>
      <c r="M61">
        <f t="shared" si="0"/>
        <v>1.3865</v>
      </c>
    </row>
    <row r="62" spans="1:13">
      <c r="A62" s="11">
        <v>10514</v>
      </c>
      <c r="B62" s="12">
        <v>44884</v>
      </c>
      <c r="C62" t="s">
        <v>19</v>
      </c>
      <c r="D62" s="11">
        <v>4.99</v>
      </c>
      <c r="E62" s="13">
        <v>201</v>
      </c>
      <c r="F62" s="11">
        <v>2.25</v>
      </c>
      <c r="G62" t="e">
        <v>#VALUE!</v>
      </c>
      <c r="H62" t="e" cm="1">
        <f t="array" ref="H62">_FV(G62,"Country/region",TRUE)</f>
        <v>#NAME?</v>
      </c>
      <c r="I62" t="s">
        <v>27</v>
      </c>
      <c r="J62" t="s">
        <v>28</v>
      </c>
      <c r="K62" t="s">
        <v>21</v>
      </c>
      <c r="L62">
        <f>Table1[[#This Row],[Price]]*Table1[[#This Row],[Quantity]]</f>
        <v>1002.99</v>
      </c>
      <c r="M62">
        <f t="shared" si="0"/>
        <v>11.2275</v>
      </c>
    </row>
    <row r="63" spans="1:13">
      <c r="A63" s="11">
        <v>10515</v>
      </c>
      <c r="B63" s="12">
        <v>44885</v>
      </c>
      <c r="C63" t="s">
        <v>22</v>
      </c>
      <c r="D63" s="11">
        <v>12.99</v>
      </c>
      <c r="E63" s="13">
        <v>478</v>
      </c>
      <c r="F63" s="11">
        <v>4.32</v>
      </c>
      <c r="G63" t="e">
        <v>#VALUE!</v>
      </c>
      <c r="H63" t="e" cm="1">
        <f t="array" ref="H63">_FV(G63,"Country/region",TRUE)</f>
        <v>#NAME?</v>
      </c>
      <c r="I63" t="s">
        <v>27</v>
      </c>
      <c r="J63" t="s">
        <v>28</v>
      </c>
      <c r="K63" t="s">
        <v>21</v>
      </c>
      <c r="L63">
        <f>Table1[[#This Row],[Price]]*Table1[[#This Row],[Quantity]]</f>
        <v>6209.22</v>
      </c>
      <c r="M63">
        <f t="shared" si="0"/>
        <v>56.1168</v>
      </c>
    </row>
    <row r="64" spans="1:13">
      <c r="A64" s="11">
        <v>10516</v>
      </c>
      <c r="B64" s="12">
        <v>44885</v>
      </c>
      <c r="C64" t="s">
        <v>25</v>
      </c>
      <c r="D64" s="11">
        <v>9.95</v>
      </c>
      <c r="E64" s="13">
        <v>202</v>
      </c>
      <c r="F64" s="11">
        <v>2.85</v>
      </c>
      <c r="G64" t="e">
        <v>#VALUE!</v>
      </c>
      <c r="H64" t="e" cm="1">
        <f t="array" ref="H64">_FV(G64,"Country/region",TRUE)</f>
        <v>#NAME?</v>
      </c>
      <c r="I64" t="s">
        <v>27</v>
      </c>
      <c r="J64" t="s">
        <v>28</v>
      </c>
      <c r="K64" t="s">
        <v>21</v>
      </c>
      <c r="L64">
        <f>Table1[[#This Row],[Price]]*Table1[[#This Row],[Quantity]]</f>
        <v>2009.9</v>
      </c>
      <c r="M64">
        <f t="shared" si="0"/>
        <v>28.3575</v>
      </c>
    </row>
    <row r="65" spans="1:13">
      <c r="A65" s="11">
        <v>10520</v>
      </c>
      <c r="B65" s="12">
        <v>44886</v>
      </c>
      <c r="C65" t="s">
        <v>22</v>
      </c>
      <c r="D65" s="11">
        <v>12.99</v>
      </c>
      <c r="E65" s="13">
        <v>493</v>
      </c>
      <c r="F65" s="11">
        <v>4.32</v>
      </c>
      <c r="G65" t="e">
        <v>#VALUE!</v>
      </c>
      <c r="H65" t="e" cm="1">
        <f t="array" ref="H65">_FV(G65,"Country/region",TRUE)</f>
        <v>#NAME?</v>
      </c>
      <c r="I65" t="s">
        <v>27</v>
      </c>
      <c r="J65" t="s">
        <v>28</v>
      </c>
      <c r="K65" t="s">
        <v>26</v>
      </c>
      <c r="L65">
        <f>Table1[[#This Row],[Price]]*Table1[[#This Row],[Quantity]]</f>
        <v>6404.07</v>
      </c>
      <c r="M65">
        <f t="shared" si="0"/>
        <v>56.1168</v>
      </c>
    </row>
    <row r="66" spans="1:13">
      <c r="A66" s="11">
        <v>10521</v>
      </c>
      <c r="B66" s="12">
        <v>44886</v>
      </c>
      <c r="C66" t="s">
        <v>25</v>
      </c>
      <c r="D66" s="11">
        <v>9.95</v>
      </c>
      <c r="E66" s="13">
        <v>202</v>
      </c>
      <c r="F66" s="11">
        <v>2.85</v>
      </c>
      <c r="G66" t="e">
        <v>#VALUE!</v>
      </c>
      <c r="H66" t="e" cm="1">
        <f t="array" ref="H66">_FV(G66,"Country/region",TRUE)</f>
        <v>#NAME?</v>
      </c>
      <c r="I66" t="s">
        <v>27</v>
      </c>
      <c r="J66" t="s">
        <v>28</v>
      </c>
      <c r="K66" t="s">
        <v>26</v>
      </c>
      <c r="L66">
        <f>Table1[[#This Row],[Price]]*Table1[[#This Row],[Quantity]]</f>
        <v>2009.9</v>
      </c>
      <c r="M66">
        <f t="shared" ref="M66:M129" si="1">D66*F66</f>
        <v>28.3575</v>
      </c>
    </row>
    <row r="67" spans="1:13">
      <c r="A67" s="11">
        <v>10522</v>
      </c>
      <c r="B67" s="12">
        <v>44886</v>
      </c>
      <c r="C67" t="s">
        <v>13</v>
      </c>
      <c r="D67" s="11">
        <v>3.49</v>
      </c>
      <c r="E67" s="13">
        <v>688</v>
      </c>
      <c r="F67" s="11">
        <v>0.88</v>
      </c>
      <c r="G67" t="e">
        <v>#VALUE!</v>
      </c>
      <c r="H67" t="e" cm="1">
        <f t="array" ref="H67">_FV(G67,"Country/region",TRUE)</f>
        <v>#NAME?</v>
      </c>
      <c r="I67" t="s">
        <v>27</v>
      </c>
      <c r="J67" t="s">
        <v>28</v>
      </c>
      <c r="K67" t="s">
        <v>26</v>
      </c>
      <c r="L67">
        <f>Table1[[#This Row],[Price]]*Table1[[#This Row],[Quantity]]</f>
        <v>2401.12</v>
      </c>
      <c r="M67">
        <f t="shared" si="1"/>
        <v>3.0712</v>
      </c>
    </row>
    <row r="68" spans="1:13">
      <c r="A68" s="11">
        <v>10523</v>
      </c>
      <c r="B68" s="12">
        <v>44886</v>
      </c>
      <c r="C68" t="s">
        <v>17</v>
      </c>
      <c r="D68" s="11">
        <v>2.95</v>
      </c>
      <c r="E68" s="13">
        <v>746</v>
      </c>
      <c r="F68" s="11">
        <v>0.47</v>
      </c>
      <c r="G68" t="e">
        <v>#VALUE!</v>
      </c>
      <c r="H68" t="e" cm="1">
        <f t="array" ref="H68">_FV(G68,"Country/region",TRUE)</f>
        <v>#NAME?</v>
      </c>
      <c r="I68" t="s">
        <v>27</v>
      </c>
      <c r="J68" t="s">
        <v>28</v>
      </c>
      <c r="K68" t="s">
        <v>26</v>
      </c>
      <c r="L68">
        <f>Table1[[#This Row],[Price]]*Table1[[#This Row],[Quantity]]</f>
        <v>2200.7</v>
      </c>
      <c r="M68">
        <f t="shared" si="1"/>
        <v>1.3865</v>
      </c>
    </row>
    <row r="69" spans="1:13">
      <c r="A69" s="11">
        <v>10524</v>
      </c>
      <c r="B69" s="12">
        <v>44886</v>
      </c>
      <c r="C69" t="s">
        <v>19</v>
      </c>
      <c r="D69" s="11">
        <v>4.99</v>
      </c>
      <c r="E69" s="13">
        <v>201</v>
      </c>
      <c r="F69" s="11">
        <v>2.25</v>
      </c>
      <c r="G69" t="e">
        <v>#VALUE!</v>
      </c>
      <c r="H69" t="e" cm="1">
        <f t="array" ref="H69">_FV(G69,"Country/region",TRUE)</f>
        <v>#NAME?</v>
      </c>
      <c r="I69" t="s">
        <v>27</v>
      </c>
      <c r="J69" t="s">
        <v>28</v>
      </c>
      <c r="K69" t="s">
        <v>26</v>
      </c>
      <c r="L69">
        <f>Table1[[#This Row],[Price]]*Table1[[#This Row],[Quantity]]</f>
        <v>1002.99</v>
      </c>
      <c r="M69">
        <f t="shared" si="1"/>
        <v>11.2275</v>
      </c>
    </row>
    <row r="70" spans="1:13">
      <c r="A70" s="11">
        <v>10525</v>
      </c>
      <c r="B70" s="12">
        <v>44887</v>
      </c>
      <c r="C70" t="s">
        <v>22</v>
      </c>
      <c r="D70" s="11">
        <v>12.99</v>
      </c>
      <c r="E70" s="13">
        <v>462</v>
      </c>
      <c r="F70" s="11">
        <v>4.32</v>
      </c>
      <c r="G70" t="e">
        <v>#VALUE!</v>
      </c>
      <c r="H70" t="e" cm="1">
        <f t="array" ref="H70">_FV(G70,"Country/region",TRUE)</f>
        <v>#NAME?</v>
      </c>
      <c r="I70" t="s">
        <v>27</v>
      </c>
      <c r="J70" t="s">
        <v>28</v>
      </c>
      <c r="K70" t="s">
        <v>26</v>
      </c>
      <c r="L70">
        <f>Table1[[#This Row],[Price]]*Table1[[#This Row],[Quantity]]</f>
        <v>6001.38</v>
      </c>
      <c r="M70">
        <f t="shared" si="1"/>
        <v>56.1168</v>
      </c>
    </row>
    <row r="71" spans="1:13">
      <c r="A71" s="11">
        <v>10526</v>
      </c>
      <c r="B71" s="12">
        <v>44887</v>
      </c>
      <c r="C71" t="s">
        <v>25</v>
      </c>
      <c r="D71" s="11">
        <v>9.95</v>
      </c>
      <c r="E71" s="13">
        <v>202</v>
      </c>
      <c r="F71" s="11">
        <v>2.85</v>
      </c>
      <c r="G71" t="e">
        <v>#VALUE!</v>
      </c>
      <c r="H71" t="e" cm="1">
        <f t="array" ref="H71">_FV(G71,"Country/region",TRUE)</f>
        <v>#NAME?</v>
      </c>
      <c r="I71" t="s">
        <v>27</v>
      </c>
      <c r="J71" t="s">
        <v>28</v>
      </c>
      <c r="K71" t="s">
        <v>26</v>
      </c>
      <c r="L71">
        <f>Table1[[#This Row],[Price]]*Table1[[#This Row],[Quantity]]</f>
        <v>2009.9</v>
      </c>
      <c r="M71">
        <f t="shared" si="1"/>
        <v>28.3575</v>
      </c>
    </row>
    <row r="72" spans="1:13">
      <c r="A72" s="11">
        <v>10527</v>
      </c>
      <c r="B72" s="12">
        <v>44887</v>
      </c>
      <c r="C72" t="s">
        <v>13</v>
      </c>
      <c r="D72" s="11">
        <v>3.49</v>
      </c>
      <c r="E72" s="13">
        <v>688</v>
      </c>
      <c r="F72" s="11">
        <v>0.88</v>
      </c>
      <c r="G72" t="e">
        <v>#VALUE!</v>
      </c>
      <c r="H72" t="e" cm="1">
        <f t="array" ref="H72">_FV(G72,"Country/region",TRUE)</f>
        <v>#NAME?</v>
      </c>
      <c r="I72" t="s">
        <v>27</v>
      </c>
      <c r="J72" t="s">
        <v>28</v>
      </c>
      <c r="K72" t="s">
        <v>26</v>
      </c>
      <c r="L72">
        <f>Table1[[#This Row],[Price]]*Table1[[#This Row],[Quantity]]</f>
        <v>2401.12</v>
      </c>
      <c r="M72">
        <f t="shared" si="1"/>
        <v>3.0712</v>
      </c>
    </row>
    <row r="73" spans="1:13">
      <c r="A73" s="11">
        <v>10528</v>
      </c>
      <c r="B73" s="12">
        <v>44887</v>
      </c>
      <c r="C73" t="s">
        <v>17</v>
      </c>
      <c r="D73" s="11">
        <v>2.95</v>
      </c>
      <c r="E73" s="13">
        <v>746</v>
      </c>
      <c r="F73" s="11">
        <v>0.47</v>
      </c>
      <c r="G73" t="e">
        <v>#VALUE!</v>
      </c>
      <c r="H73" t="e" cm="1">
        <f t="array" ref="H73">_FV(G73,"Country/region",TRUE)</f>
        <v>#NAME?</v>
      </c>
      <c r="I73" t="s">
        <v>27</v>
      </c>
      <c r="J73" t="s">
        <v>28</v>
      </c>
      <c r="K73" t="s">
        <v>26</v>
      </c>
      <c r="L73">
        <f>Table1[[#This Row],[Price]]*Table1[[#This Row],[Quantity]]</f>
        <v>2200.7</v>
      </c>
      <c r="M73">
        <f t="shared" si="1"/>
        <v>1.3865</v>
      </c>
    </row>
    <row r="74" spans="1:13">
      <c r="A74" s="11">
        <v>10529</v>
      </c>
      <c r="B74" s="12">
        <v>44887</v>
      </c>
      <c r="C74" t="s">
        <v>19</v>
      </c>
      <c r="D74" s="11">
        <v>4.99</v>
      </c>
      <c r="E74" s="13">
        <v>201</v>
      </c>
      <c r="F74" s="11">
        <v>2.25</v>
      </c>
      <c r="G74" t="e">
        <v>#VALUE!</v>
      </c>
      <c r="H74" t="e" cm="1">
        <f t="array" ref="H74">_FV(G74,"Country/region",TRUE)</f>
        <v>#NAME?</v>
      </c>
      <c r="I74" t="s">
        <v>27</v>
      </c>
      <c r="J74" t="s">
        <v>28</v>
      </c>
      <c r="K74" t="s">
        <v>26</v>
      </c>
      <c r="L74">
        <f>Table1[[#This Row],[Price]]*Table1[[#This Row],[Quantity]]</f>
        <v>1002.99</v>
      </c>
      <c r="M74">
        <f t="shared" si="1"/>
        <v>11.2275</v>
      </c>
    </row>
    <row r="75" spans="1:13">
      <c r="A75" s="11">
        <v>10530</v>
      </c>
      <c r="B75" s="12">
        <v>44888</v>
      </c>
      <c r="C75" t="s">
        <v>22</v>
      </c>
      <c r="D75" s="11">
        <v>12.99</v>
      </c>
      <c r="E75" s="13">
        <v>478</v>
      </c>
      <c r="F75" s="11">
        <v>4.32</v>
      </c>
      <c r="G75" t="e">
        <v>#VALUE!</v>
      </c>
      <c r="H75" t="e" cm="1">
        <f t="array" ref="H75">_FV(G75,"Country/region",TRUE)</f>
        <v>#NAME?</v>
      </c>
      <c r="I75" t="s">
        <v>27</v>
      </c>
      <c r="J75" t="s">
        <v>28</v>
      </c>
      <c r="K75" t="s">
        <v>26</v>
      </c>
      <c r="L75">
        <f>Table1[[#This Row],[Price]]*Table1[[#This Row],[Quantity]]</f>
        <v>6209.22</v>
      </c>
      <c r="M75">
        <f t="shared" si="1"/>
        <v>56.1168</v>
      </c>
    </row>
    <row r="76" spans="1:13">
      <c r="A76" s="11">
        <v>10531</v>
      </c>
      <c r="B76" s="12">
        <v>44888</v>
      </c>
      <c r="C76" t="s">
        <v>25</v>
      </c>
      <c r="D76" s="11">
        <v>9.95</v>
      </c>
      <c r="E76" s="13">
        <v>202</v>
      </c>
      <c r="F76" s="11">
        <v>2.85</v>
      </c>
      <c r="G76" t="e">
        <v>#VALUE!</v>
      </c>
      <c r="H76" t="e" cm="1">
        <f t="array" ref="H76">_FV(G76,"Country/region",TRUE)</f>
        <v>#NAME?</v>
      </c>
      <c r="I76" t="s">
        <v>27</v>
      </c>
      <c r="J76" t="s">
        <v>28</v>
      </c>
      <c r="K76" t="s">
        <v>26</v>
      </c>
      <c r="L76">
        <f>Table1[[#This Row],[Price]]*Table1[[#This Row],[Quantity]]</f>
        <v>2009.9</v>
      </c>
      <c r="M76">
        <f t="shared" si="1"/>
        <v>28.3575</v>
      </c>
    </row>
    <row r="77" spans="1:13">
      <c r="A77" s="11">
        <v>10532</v>
      </c>
      <c r="B77" s="12">
        <v>44888</v>
      </c>
      <c r="C77" t="s">
        <v>13</v>
      </c>
      <c r="D77" s="11">
        <v>3.49</v>
      </c>
      <c r="E77" s="13">
        <v>688</v>
      </c>
      <c r="F77" s="11">
        <v>0.88</v>
      </c>
      <c r="G77" t="e">
        <v>#VALUE!</v>
      </c>
      <c r="H77" t="e" cm="1">
        <f t="array" ref="H77">_FV(G77,"Country/region",TRUE)</f>
        <v>#NAME?</v>
      </c>
      <c r="I77" t="s">
        <v>27</v>
      </c>
      <c r="J77" t="s">
        <v>28</v>
      </c>
      <c r="K77" t="s">
        <v>21</v>
      </c>
      <c r="L77">
        <f>Table1[[#This Row],[Price]]*Table1[[#This Row],[Quantity]]</f>
        <v>2401.12</v>
      </c>
      <c r="M77">
        <f t="shared" si="1"/>
        <v>3.0712</v>
      </c>
    </row>
    <row r="78" spans="1:13">
      <c r="A78" s="11">
        <v>10533</v>
      </c>
      <c r="B78" s="12">
        <v>44888</v>
      </c>
      <c r="C78" t="s">
        <v>17</v>
      </c>
      <c r="D78" s="11">
        <v>2.95</v>
      </c>
      <c r="E78" s="13">
        <v>746</v>
      </c>
      <c r="F78" s="11">
        <v>0.47</v>
      </c>
      <c r="G78" t="e">
        <v>#VALUE!</v>
      </c>
      <c r="H78" t="e" cm="1">
        <f t="array" ref="H78">_FV(G78,"Country/region",TRUE)</f>
        <v>#NAME?</v>
      </c>
      <c r="I78" t="s">
        <v>27</v>
      </c>
      <c r="J78" t="s">
        <v>28</v>
      </c>
      <c r="K78" t="s">
        <v>21</v>
      </c>
      <c r="L78">
        <f>Table1[[#This Row],[Price]]*Table1[[#This Row],[Quantity]]</f>
        <v>2200.7</v>
      </c>
      <c r="M78">
        <f t="shared" si="1"/>
        <v>1.3865</v>
      </c>
    </row>
    <row r="79" spans="1:13">
      <c r="A79" s="11">
        <v>10534</v>
      </c>
      <c r="B79" s="12">
        <v>44888</v>
      </c>
      <c r="C79" t="s">
        <v>19</v>
      </c>
      <c r="D79" s="11">
        <v>4.99</v>
      </c>
      <c r="E79" s="13">
        <v>201</v>
      </c>
      <c r="F79" s="11">
        <v>2.25</v>
      </c>
      <c r="G79" t="e">
        <v>#VALUE!</v>
      </c>
      <c r="H79" t="e" cm="1">
        <f t="array" ref="H79">_FV(G79,"Country/region",TRUE)</f>
        <v>#NAME?</v>
      </c>
      <c r="I79" t="s">
        <v>27</v>
      </c>
      <c r="J79" t="s">
        <v>28</v>
      </c>
      <c r="K79" t="s">
        <v>18</v>
      </c>
      <c r="L79">
        <f>Table1[[#This Row],[Price]]*Table1[[#This Row],[Quantity]]</f>
        <v>1002.99</v>
      </c>
      <c r="M79">
        <f t="shared" si="1"/>
        <v>11.2275</v>
      </c>
    </row>
    <row r="80" spans="1:13">
      <c r="A80" s="11">
        <v>10535</v>
      </c>
      <c r="B80" s="12">
        <v>44889</v>
      </c>
      <c r="C80" t="s">
        <v>22</v>
      </c>
      <c r="D80" s="11">
        <v>12.99</v>
      </c>
      <c r="E80" s="13">
        <v>478</v>
      </c>
      <c r="F80" s="11">
        <v>4.32</v>
      </c>
      <c r="G80" t="e">
        <v>#VALUE!</v>
      </c>
      <c r="H80" t="e" cm="1">
        <f t="array" ref="H80">_FV(G80,"Country/region",TRUE)</f>
        <v>#NAME?</v>
      </c>
      <c r="I80" t="s">
        <v>27</v>
      </c>
      <c r="J80" t="s">
        <v>23</v>
      </c>
      <c r="K80" t="s">
        <v>18</v>
      </c>
      <c r="L80">
        <f>Table1[[#This Row],[Price]]*Table1[[#This Row],[Quantity]]</f>
        <v>6209.22</v>
      </c>
      <c r="M80">
        <f t="shared" si="1"/>
        <v>56.1168</v>
      </c>
    </row>
    <row r="81" spans="1:13">
      <c r="A81" s="11">
        <v>10536</v>
      </c>
      <c r="B81" s="12">
        <v>44889</v>
      </c>
      <c r="C81" t="s">
        <v>25</v>
      </c>
      <c r="D81" s="11">
        <v>9.95</v>
      </c>
      <c r="E81" s="13">
        <v>202</v>
      </c>
      <c r="F81" s="11">
        <v>2.85</v>
      </c>
      <c r="G81" t="e">
        <v>#VALUE!</v>
      </c>
      <c r="H81" t="e" cm="1">
        <f t="array" ref="H81">_FV(G81,"Country/region",TRUE)</f>
        <v>#NAME?</v>
      </c>
      <c r="I81" t="s">
        <v>27</v>
      </c>
      <c r="J81" t="s">
        <v>23</v>
      </c>
      <c r="K81" t="s">
        <v>18</v>
      </c>
      <c r="L81">
        <f>Table1[[#This Row],[Price]]*Table1[[#This Row],[Quantity]]</f>
        <v>2009.9</v>
      </c>
      <c r="M81">
        <f t="shared" si="1"/>
        <v>28.3575</v>
      </c>
    </row>
    <row r="82" spans="1:13">
      <c r="A82" s="11">
        <v>10537</v>
      </c>
      <c r="B82" s="12">
        <v>44889</v>
      </c>
      <c r="C82" t="s">
        <v>13</v>
      </c>
      <c r="D82" s="11">
        <v>3.49</v>
      </c>
      <c r="E82" s="13">
        <v>631</v>
      </c>
      <c r="F82" s="11">
        <v>0.88</v>
      </c>
      <c r="G82" t="e">
        <v>#VALUE!</v>
      </c>
      <c r="H82" t="e" cm="1">
        <f t="array" ref="H82">_FV(G82,"Country/region",TRUE)</f>
        <v>#NAME?</v>
      </c>
      <c r="I82" t="s">
        <v>27</v>
      </c>
      <c r="J82" t="s">
        <v>23</v>
      </c>
      <c r="K82" t="s">
        <v>18</v>
      </c>
      <c r="L82">
        <f>Table1[[#This Row],[Price]]*Table1[[#This Row],[Quantity]]</f>
        <v>2202.19</v>
      </c>
      <c r="M82">
        <f t="shared" si="1"/>
        <v>3.0712</v>
      </c>
    </row>
    <row r="83" spans="1:13">
      <c r="A83" s="11">
        <v>10538</v>
      </c>
      <c r="B83" s="12">
        <v>44889</v>
      </c>
      <c r="C83" t="s">
        <v>17</v>
      </c>
      <c r="D83" s="11">
        <v>2.95</v>
      </c>
      <c r="E83" s="13">
        <v>746</v>
      </c>
      <c r="F83" s="11">
        <v>0.47</v>
      </c>
      <c r="G83" t="e">
        <v>#VALUE!</v>
      </c>
      <c r="H83" t="e" cm="1">
        <f t="array" ref="H83">_FV(G83,"Country/region",TRUE)</f>
        <v>#NAME?</v>
      </c>
      <c r="I83" t="s">
        <v>27</v>
      </c>
      <c r="J83" t="s">
        <v>23</v>
      </c>
      <c r="K83" t="s">
        <v>18</v>
      </c>
      <c r="L83">
        <f>Table1[[#This Row],[Price]]*Table1[[#This Row],[Quantity]]</f>
        <v>2200.7</v>
      </c>
      <c r="M83">
        <f t="shared" si="1"/>
        <v>1.3865</v>
      </c>
    </row>
    <row r="84" spans="1:13">
      <c r="A84" s="11">
        <v>10539</v>
      </c>
      <c r="B84" s="12">
        <v>44889</v>
      </c>
      <c r="C84" t="s">
        <v>19</v>
      </c>
      <c r="D84" s="11">
        <v>4.99</v>
      </c>
      <c r="E84" s="13">
        <v>201</v>
      </c>
      <c r="F84" s="11">
        <v>2.25</v>
      </c>
      <c r="G84" t="e">
        <v>#VALUE!</v>
      </c>
      <c r="H84" t="e" cm="1">
        <f t="array" ref="H84">_FV(G84,"Country/region",TRUE)</f>
        <v>#NAME?</v>
      </c>
      <c r="I84" t="s">
        <v>27</v>
      </c>
      <c r="J84" t="s">
        <v>23</v>
      </c>
      <c r="K84" t="s">
        <v>18</v>
      </c>
      <c r="L84">
        <f>Table1[[#This Row],[Price]]*Table1[[#This Row],[Quantity]]</f>
        <v>1002.99</v>
      </c>
      <c r="M84">
        <f t="shared" si="1"/>
        <v>11.2275</v>
      </c>
    </row>
    <row r="85" spans="1:13">
      <c r="A85" s="11">
        <v>10540</v>
      </c>
      <c r="B85" s="12">
        <v>44890</v>
      </c>
      <c r="C85" t="s">
        <v>22</v>
      </c>
      <c r="D85" s="11">
        <v>12.99</v>
      </c>
      <c r="E85" s="13">
        <v>462</v>
      </c>
      <c r="F85" s="11">
        <v>4.32</v>
      </c>
      <c r="G85" t="e">
        <v>#VALUE!</v>
      </c>
      <c r="H85" t="e" cm="1">
        <f t="array" ref="H85">_FV(G85,"Country/region",TRUE)</f>
        <v>#NAME?</v>
      </c>
      <c r="I85" t="s">
        <v>27</v>
      </c>
      <c r="J85" t="s">
        <v>23</v>
      </c>
      <c r="K85" t="s">
        <v>18</v>
      </c>
      <c r="L85">
        <f>Table1[[#This Row],[Price]]*Table1[[#This Row],[Quantity]]</f>
        <v>6001.38</v>
      </c>
      <c r="M85">
        <f t="shared" si="1"/>
        <v>56.1168</v>
      </c>
    </row>
    <row r="86" spans="1:13">
      <c r="A86" s="11">
        <v>10541</v>
      </c>
      <c r="B86" s="12">
        <v>44890</v>
      </c>
      <c r="C86" t="s">
        <v>25</v>
      </c>
      <c r="D86" s="11">
        <v>9.95</v>
      </c>
      <c r="E86" s="13">
        <v>202</v>
      </c>
      <c r="F86" s="11">
        <v>2.85</v>
      </c>
      <c r="G86" t="e">
        <v>#VALUE!</v>
      </c>
      <c r="H86" t="e" cm="1">
        <f t="array" ref="H86">_FV(G86,"Country/region",TRUE)</f>
        <v>#NAME?</v>
      </c>
      <c r="I86" t="s">
        <v>27</v>
      </c>
      <c r="J86" t="s">
        <v>23</v>
      </c>
      <c r="K86" t="s">
        <v>16</v>
      </c>
      <c r="L86">
        <f>Table1[[#This Row],[Price]]*Table1[[#This Row],[Quantity]]</f>
        <v>2009.9</v>
      </c>
      <c r="M86">
        <f t="shared" si="1"/>
        <v>28.3575</v>
      </c>
    </row>
    <row r="87" spans="1:13">
      <c r="A87" s="11">
        <v>10542</v>
      </c>
      <c r="B87" s="12">
        <v>44890</v>
      </c>
      <c r="C87" t="s">
        <v>13</v>
      </c>
      <c r="D87" s="11">
        <v>3.49</v>
      </c>
      <c r="E87" s="13">
        <v>631</v>
      </c>
      <c r="F87" s="11">
        <v>0.88</v>
      </c>
      <c r="G87" t="e">
        <v>#VALUE!</v>
      </c>
      <c r="H87" t="e" cm="1">
        <f t="array" ref="H87">_FV(G87,"Country/region",TRUE)</f>
        <v>#NAME?</v>
      </c>
      <c r="I87" t="s">
        <v>27</v>
      </c>
      <c r="J87" t="s">
        <v>23</v>
      </c>
      <c r="K87" t="s">
        <v>16</v>
      </c>
      <c r="L87">
        <f>Table1[[#This Row],[Price]]*Table1[[#This Row],[Quantity]]</f>
        <v>2202.19</v>
      </c>
      <c r="M87">
        <f t="shared" si="1"/>
        <v>3.0712</v>
      </c>
    </row>
    <row r="88" spans="1:13">
      <c r="A88" s="11">
        <v>10543</v>
      </c>
      <c r="B88" s="12">
        <v>44890</v>
      </c>
      <c r="C88" t="s">
        <v>17</v>
      </c>
      <c r="D88" s="11">
        <v>2.95</v>
      </c>
      <c r="E88" s="13">
        <v>746</v>
      </c>
      <c r="F88" s="11">
        <v>0.47</v>
      </c>
      <c r="G88" t="e">
        <v>#VALUE!</v>
      </c>
      <c r="H88" t="e" cm="1">
        <f t="array" ref="H88">_FV(G88,"Country/region",TRUE)</f>
        <v>#NAME?</v>
      </c>
      <c r="I88" t="s">
        <v>27</v>
      </c>
      <c r="J88" t="s">
        <v>23</v>
      </c>
      <c r="K88" t="s">
        <v>16</v>
      </c>
      <c r="L88">
        <f>Table1[[#This Row],[Price]]*Table1[[#This Row],[Quantity]]</f>
        <v>2200.7</v>
      </c>
      <c r="M88">
        <f t="shared" si="1"/>
        <v>1.3865</v>
      </c>
    </row>
    <row r="89" spans="1:13">
      <c r="A89" s="11">
        <v>10544</v>
      </c>
      <c r="B89" s="12">
        <v>44890</v>
      </c>
      <c r="C89" t="s">
        <v>19</v>
      </c>
      <c r="D89" s="11">
        <v>4.99</v>
      </c>
      <c r="E89" s="13">
        <v>201</v>
      </c>
      <c r="F89" s="11">
        <v>2.25</v>
      </c>
      <c r="G89" t="e">
        <v>#VALUE!</v>
      </c>
      <c r="H89" t="e" cm="1">
        <f t="array" ref="H89">_FV(G89,"Country/region",TRUE)</f>
        <v>#NAME?</v>
      </c>
      <c r="I89" t="s">
        <v>27</v>
      </c>
      <c r="J89" t="s">
        <v>23</v>
      </c>
      <c r="K89" t="s">
        <v>16</v>
      </c>
      <c r="L89">
        <f>Table1[[#This Row],[Price]]*Table1[[#This Row],[Quantity]]</f>
        <v>1002.99</v>
      </c>
      <c r="M89">
        <f t="shared" si="1"/>
        <v>11.2275</v>
      </c>
    </row>
    <row r="90" spans="1:13">
      <c r="A90" s="11">
        <v>10545</v>
      </c>
      <c r="B90" s="12">
        <v>44891</v>
      </c>
      <c r="C90" t="s">
        <v>22</v>
      </c>
      <c r="D90" s="11">
        <v>12.99</v>
      </c>
      <c r="E90" s="13">
        <v>447</v>
      </c>
      <c r="F90" s="11">
        <v>4.32</v>
      </c>
      <c r="G90" t="e">
        <v>#VALUE!</v>
      </c>
      <c r="H90" t="e" cm="1">
        <f t="array" ref="H90">_FV(G90,"Country/region",TRUE)</f>
        <v>#NAME?</v>
      </c>
      <c r="I90" t="s">
        <v>27</v>
      </c>
      <c r="J90" t="s">
        <v>23</v>
      </c>
      <c r="K90" t="s">
        <v>16</v>
      </c>
      <c r="L90">
        <f>Table1[[#This Row],[Price]]*Table1[[#This Row],[Quantity]]</f>
        <v>5806.53</v>
      </c>
      <c r="M90">
        <f t="shared" si="1"/>
        <v>56.1168</v>
      </c>
    </row>
    <row r="91" spans="1:13">
      <c r="A91" s="11">
        <v>10546</v>
      </c>
      <c r="B91" s="12">
        <v>44891</v>
      </c>
      <c r="C91" t="s">
        <v>25</v>
      </c>
      <c r="D91" s="11">
        <v>9.95</v>
      </c>
      <c r="E91" s="13">
        <v>202</v>
      </c>
      <c r="F91" s="11">
        <v>2.85</v>
      </c>
      <c r="G91" t="e">
        <v>#VALUE!</v>
      </c>
      <c r="H91" t="e" cm="1">
        <f t="array" ref="H91">_FV(G91,"Country/region",TRUE)</f>
        <v>#NAME?</v>
      </c>
      <c r="I91" t="s">
        <v>27</v>
      </c>
      <c r="J91" t="s">
        <v>23</v>
      </c>
      <c r="K91" t="s">
        <v>16</v>
      </c>
      <c r="L91">
        <f>Table1[[#This Row],[Price]]*Table1[[#This Row],[Quantity]]</f>
        <v>2009.9</v>
      </c>
      <c r="M91">
        <f t="shared" si="1"/>
        <v>28.3575</v>
      </c>
    </row>
    <row r="92" spans="1:13">
      <c r="A92" s="11">
        <v>10547</v>
      </c>
      <c r="B92" s="12">
        <v>44891</v>
      </c>
      <c r="C92" t="s">
        <v>13</v>
      </c>
      <c r="D92" s="11">
        <v>3.49</v>
      </c>
      <c r="E92" s="13">
        <v>631</v>
      </c>
      <c r="F92" s="11">
        <v>0.88</v>
      </c>
      <c r="G92" t="e">
        <v>#VALUE!</v>
      </c>
      <c r="H92" t="e" cm="1">
        <f t="array" ref="H92">_FV(G92,"Country/region",TRUE)</f>
        <v>#NAME?</v>
      </c>
      <c r="I92" t="s">
        <v>27</v>
      </c>
      <c r="J92" t="s">
        <v>23</v>
      </c>
      <c r="K92" t="s">
        <v>16</v>
      </c>
      <c r="L92">
        <f>Table1[[#This Row],[Price]]*Table1[[#This Row],[Quantity]]</f>
        <v>2202.19</v>
      </c>
      <c r="M92">
        <f t="shared" si="1"/>
        <v>3.0712</v>
      </c>
    </row>
    <row r="93" spans="1:13">
      <c r="A93" s="11">
        <v>10548</v>
      </c>
      <c r="B93" s="12">
        <v>44891</v>
      </c>
      <c r="C93" t="s">
        <v>17</v>
      </c>
      <c r="D93" s="11">
        <v>2.95</v>
      </c>
      <c r="E93" s="13">
        <v>746</v>
      </c>
      <c r="F93" s="11">
        <v>0.47</v>
      </c>
      <c r="G93" t="e">
        <v>#VALUE!</v>
      </c>
      <c r="H93" t="e" cm="1">
        <f t="array" ref="H93">_FV(G93,"Country/region",TRUE)</f>
        <v>#NAME?</v>
      </c>
      <c r="I93" t="s">
        <v>27</v>
      </c>
      <c r="J93" t="s">
        <v>23</v>
      </c>
      <c r="K93" t="s">
        <v>16</v>
      </c>
      <c r="L93">
        <f>Table1[[#This Row],[Price]]*Table1[[#This Row],[Quantity]]</f>
        <v>2200.7</v>
      </c>
      <c r="M93">
        <f t="shared" si="1"/>
        <v>1.3865</v>
      </c>
    </row>
    <row r="94" spans="1:13">
      <c r="A94" s="11">
        <v>10549</v>
      </c>
      <c r="B94" s="12">
        <v>44891</v>
      </c>
      <c r="C94" t="s">
        <v>19</v>
      </c>
      <c r="D94" s="11">
        <v>4.99</v>
      </c>
      <c r="E94" s="13">
        <v>201</v>
      </c>
      <c r="F94" s="11">
        <v>2.25</v>
      </c>
      <c r="G94" t="e">
        <v>#VALUE!</v>
      </c>
      <c r="H94" t="e" cm="1">
        <f t="array" ref="H94">_FV(G94,"Country/region",TRUE)</f>
        <v>#NAME?</v>
      </c>
      <c r="I94" t="s">
        <v>27</v>
      </c>
      <c r="J94" t="s">
        <v>23</v>
      </c>
      <c r="K94" t="s">
        <v>16</v>
      </c>
      <c r="L94">
        <f>Table1[[#This Row],[Price]]*Table1[[#This Row],[Quantity]]</f>
        <v>1002.99</v>
      </c>
      <c r="M94">
        <f t="shared" si="1"/>
        <v>11.2275</v>
      </c>
    </row>
    <row r="95" spans="1:13">
      <c r="A95" s="11">
        <v>10550</v>
      </c>
      <c r="B95" s="12">
        <v>44892</v>
      </c>
      <c r="C95" t="s">
        <v>22</v>
      </c>
      <c r="D95" s="11">
        <v>12.99</v>
      </c>
      <c r="E95" s="13">
        <v>462</v>
      </c>
      <c r="F95" s="11">
        <v>4.32</v>
      </c>
      <c r="G95" t="e">
        <v>#VALUE!</v>
      </c>
      <c r="H95" t="e" cm="1">
        <f t="array" ref="H95">_FV(G95,"Country/region",TRUE)</f>
        <v>#NAME?</v>
      </c>
      <c r="I95" t="s">
        <v>27</v>
      </c>
      <c r="J95" t="s">
        <v>23</v>
      </c>
      <c r="K95" t="s">
        <v>16</v>
      </c>
      <c r="L95">
        <f>Table1[[#This Row],[Price]]*Table1[[#This Row],[Quantity]]</f>
        <v>6001.38</v>
      </c>
      <c r="M95">
        <f t="shared" si="1"/>
        <v>56.1168</v>
      </c>
    </row>
    <row r="96" spans="1:13">
      <c r="A96" s="11">
        <v>10551</v>
      </c>
      <c r="B96" s="12">
        <v>44892</v>
      </c>
      <c r="C96" t="s">
        <v>25</v>
      </c>
      <c r="D96" s="11">
        <v>9.95</v>
      </c>
      <c r="E96" s="13">
        <v>202</v>
      </c>
      <c r="F96" s="11">
        <v>2.85</v>
      </c>
      <c r="G96" t="e">
        <v>#VALUE!</v>
      </c>
      <c r="H96" t="e" cm="1">
        <f t="array" ref="H96">_FV(G96,"Country/region",TRUE)</f>
        <v>#NAME?</v>
      </c>
      <c r="I96" t="s">
        <v>27</v>
      </c>
      <c r="J96" t="s">
        <v>23</v>
      </c>
      <c r="K96" t="s">
        <v>16</v>
      </c>
      <c r="L96">
        <f>Table1[[#This Row],[Price]]*Table1[[#This Row],[Quantity]]</f>
        <v>2009.9</v>
      </c>
      <c r="M96">
        <f t="shared" si="1"/>
        <v>28.3575</v>
      </c>
    </row>
    <row r="97" spans="1:13">
      <c r="A97" s="11">
        <v>10552</v>
      </c>
      <c r="B97" s="12">
        <v>44892</v>
      </c>
      <c r="C97" t="s">
        <v>13</v>
      </c>
      <c r="D97" s="11">
        <v>3.49</v>
      </c>
      <c r="E97" s="13">
        <v>631</v>
      </c>
      <c r="F97" s="11">
        <v>0.88</v>
      </c>
      <c r="G97" t="e">
        <v>#VALUE!</v>
      </c>
      <c r="H97" t="e" cm="1">
        <f t="array" ref="H97">_FV(G97,"Country/region",TRUE)</f>
        <v>#NAME?</v>
      </c>
      <c r="I97" t="s">
        <v>14</v>
      </c>
      <c r="J97" t="s">
        <v>23</v>
      </c>
      <c r="K97" t="s">
        <v>16</v>
      </c>
      <c r="L97">
        <f>Table1[[#This Row],[Price]]*Table1[[#This Row],[Quantity]]</f>
        <v>2202.19</v>
      </c>
      <c r="M97">
        <f t="shared" si="1"/>
        <v>3.0712</v>
      </c>
    </row>
    <row r="98" spans="1:13">
      <c r="A98" s="11">
        <v>10553</v>
      </c>
      <c r="B98" s="12">
        <v>44892</v>
      </c>
      <c r="C98" t="s">
        <v>17</v>
      </c>
      <c r="D98" s="11">
        <v>2.95</v>
      </c>
      <c r="E98" s="13">
        <v>746</v>
      </c>
      <c r="F98" s="11">
        <v>0.47</v>
      </c>
      <c r="G98" t="e">
        <v>#VALUE!</v>
      </c>
      <c r="H98" t="e" cm="1">
        <f t="array" ref="H98">_FV(G98,"Country/region",TRUE)</f>
        <v>#NAME?</v>
      </c>
      <c r="I98" t="s">
        <v>14</v>
      </c>
      <c r="J98" t="s">
        <v>23</v>
      </c>
      <c r="K98" t="s">
        <v>16</v>
      </c>
      <c r="L98">
        <f>Table1[[#This Row],[Price]]*Table1[[#This Row],[Quantity]]</f>
        <v>2200.7</v>
      </c>
      <c r="M98">
        <f t="shared" si="1"/>
        <v>1.3865</v>
      </c>
    </row>
    <row r="99" spans="1:13">
      <c r="A99" s="11">
        <v>10554</v>
      </c>
      <c r="B99" s="12">
        <v>44892</v>
      </c>
      <c r="C99" t="s">
        <v>19</v>
      </c>
      <c r="D99" s="11">
        <v>4.99</v>
      </c>
      <c r="E99" s="13">
        <v>201</v>
      </c>
      <c r="F99" s="11">
        <v>2.25</v>
      </c>
      <c r="G99" t="e">
        <v>#VALUE!</v>
      </c>
      <c r="H99" t="e" cm="1">
        <f t="array" ref="H99">_FV(G99,"Country/region",TRUE)</f>
        <v>#NAME?</v>
      </c>
      <c r="I99" t="s">
        <v>14</v>
      </c>
      <c r="J99" t="s">
        <v>23</v>
      </c>
      <c r="K99" t="s">
        <v>16</v>
      </c>
      <c r="L99">
        <f>Table1[[#This Row],[Price]]*Table1[[#This Row],[Quantity]]</f>
        <v>1002.99</v>
      </c>
      <c r="M99">
        <f t="shared" si="1"/>
        <v>11.2275</v>
      </c>
    </row>
    <row r="100" spans="1:13">
      <c r="A100" s="11">
        <v>10555</v>
      </c>
      <c r="B100" s="12">
        <v>44893</v>
      </c>
      <c r="C100" t="s">
        <v>22</v>
      </c>
      <c r="D100" s="11">
        <v>12.99</v>
      </c>
      <c r="E100" s="13">
        <v>478</v>
      </c>
      <c r="F100" s="11">
        <v>4.32</v>
      </c>
      <c r="G100" t="e">
        <v>#VALUE!</v>
      </c>
      <c r="H100" t="e" cm="1">
        <f t="array" ref="H100">_FV(G100,"Country/region",TRUE)</f>
        <v>#NAME?</v>
      </c>
      <c r="I100" t="s">
        <v>14</v>
      </c>
      <c r="J100" t="s">
        <v>23</v>
      </c>
      <c r="K100" t="s">
        <v>16</v>
      </c>
      <c r="L100">
        <f>Table1[[#This Row],[Price]]*Table1[[#This Row],[Quantity]]</f>
        <v>6209.22</v>
      </c>
      <c r="M100">
        <f t="shared" si="1"/>
        <v>56.1168</v>
      </c>
    </row>
    <row r="101" spans="1:13">
      <c r="A101" s="11">
        <v>10556</v>
      </c>
      <c r="B101" s="12">
        <v>44893</v>
      </c>
      <c r="C101" t="s">
        <v>25</v>
      </c>
      <c r="D101" s="11">
        <v>9.95</v>
      </c>
      <c r="E101" s="13">
        <v>202</v>
      </c>
      <c r="F101" s="11">
        <v>2.85</v>
      </c>
      <c r="G101" t="e">
        <v>#VALUE!</v>
      </c>
      <c r="H101" t="e" cm="1">
        <f t="array" ref="H101">_FV(G101,"Country/region",TRUE)</f>
        <v>#NAME?</v>
      </c>
      <c r="I101" t="s">
        <v>14</v>
      </c>
      <c r="J101" t="s">
        <v>23</v>
      </c>
      <c r="K101" t="s">
        <v>16</v>
      </c>
      <c r="L101">
        <f>Table1[[#This Row],[Price]]*Table1[[#This Row],[Quantity]]</f>
        <v>2009.9</v>
      </c>
      <c r="M101">
        <f t="shared" si="1"/>
        <v>28.3575</v>
      </c>
    </row>
    <row r="102" spans="1:13">
      <c r="A102" s="11">
        <v>10557</v>
      </c>
      <c r="B102" s="12">
        <v>44893</v>
      </c>
      <c r="C102" t="s">
        <v>13</v>
      </c>
      <c r="D102" s="11">
        <v>3.49</v>
      </c>
      <c r="E102" s="13">
        <v>631</v>
      </c>
      <c r="F102" s="11">
        <v>0.88</v>
      </c>
      <c r="G102" t="e">
        <v>#VALUE!</v>
      </c>
      <c r="H102" t="e" cm="1">
        <f t="array" ref="H102">_FV(G102,"Country/region",TRUE)</f>
        <v>#NAME?</v>
      </c>
      <c r="I102" t="s">
        <v>14</v>
      </c>
      <c r="J102" t="s">
        <v>23</v>
      </c>
      <c r="K102" t="s">
        <v>16</v>
      </c>
      <c r="L102">
        <f>Table1[[#This Row],[Price]]*Table1[[#This Row],[Quantity]]</f>
        <v>2202.19</v>
      </c>
      <c r="M102">
        <f t="shared" si="1"/>
        <v>3.0712</v>
      </c>
    </row>
    <row r="103" spans="1:13">
      <c r="A103" s="11">
        <v>10558</v>
      </c>
      <c r="B103" s="12">
        <v>44893</v>
      </c>
      <c r="C103" t="s">
        <v>17</v>
      </c>
      <c r="D103" s="11">
        <v>2.95</v>
      </c>
      <c r="E103" s="13">
        <v>678</v>
      </c>
      <c r="F103" s="11">
        <v>0.47</v>
      </c>
      <c r="G103" t="e">
        <v>#VALUE!</v>
      </c>
      <c r="H103" t="e" cm="1">
        <f t="array" ref="H103">_FV(G103,"Country/region",TRUE)</f>
        <v>#NAME?</v>
      </c>
      <c r="I103" t="s">
        <v>14</v>
      </c>
      <c r="J103" t="s">
        <v>23</v>
      </c>
      <c r="K103" t="s">
        <v>16</v>
      </c>
      <c r="L103">
        <f>Table1[[#This Row],[Price]]*Table1[[#This Row],[Quantity]]</f>
        <v>2000.1</v>
      </c>
      <c r="M103">
        <f t="shared" si="1"/>
        <v>1.3865</v>
      </c>
    </row>
    <row r="104" spans="1:13">
      <c r="A104" s="11">
        <v>10559</v>
      </c>
      <c r="B104" s="12">
        <v>44893</v>
      </c>
      <c r="C104" t="s">
        <v>19</v>
      </c>
      <c r="D104" s="11">
        <v>4.99</v>
      </c>
      <c r="E104" s="13">
        <v>201</v>
      </c>
      <c r="F104" s="11">
        <v>2.25</v>
      </c>
      <c r="G104" t="e">
        <v>#VALUE!</v>
      </c>
      <c r="H104" t="e" cm="1">
        <f t="array" ref="H104">_FV(G104,"Country/region",TRUE)</f>
        <v>#NAME?</v>
      </c>
      <c r="I104" t="s">
        <v>14</v>
      </c>
      <c r="J104" t="s">
        <v>23</v>
      </c>
      <c r="K104" t="s">
        <v>16</v>
      </c>
      <c r="L104">
        <f>Table1[[#This Row],[Price]]*Table1[[#This Row],[Quantity]]</f>
        <v>1002.99</v>
      </c>
      <c r="M104">
        <f t="shared" si="1"/>
        <v>11.2275</v>
      </c>
    </row>
    <row r="105" spans="1:13">
      <c r="A105" s="11">
        <v>10560</v>
      </c>
      <c r="B105" s="12">
        <v>44894</v>
      </c>
      <c r="C105" t="s">
        <v>22</v>
      </c>
      <c r="D105" s="11">
        <v>12.99</v>
      </c>
      <c r="E105" s="13">
        <v>478</v>
      </c>
      <c r="F105" s="11">
        <v>4.32</v>
      </c>
      <c r="G105" t="e">
        <v>#VALUE!</v>
      </c>
      <c r="H105" t="e" cm="1">
        <f t="array" ref="H105">_FV(G105,"Country/region",TRUE)</f>
        <v>#NAME?</v>
      </c>
      <c r="I105" t="s">
        <v>14</v>
      </c>
      <c r="J105" t="s">
        <v>23</v>
      </c>
      <c r="K105" t="s">
        <v>16</v>
      </c>
      <c r="L105">
        <f>Table1[[#This Row],[Price]]*Table1[[#This Row],[Quantity]]</f>
        <v>6209.22</v>
      </c>
      <c r="M105">
        <f t="shared" si="1"/>
        <v>56.1168</v>
      </c>
    </row>
    <row r="106" spans="1:13">
      <c r="A106" s="11">
        <v>10561</v>
      </c>
      <c r="B106" s="12">
        <v>44894</v>
      </c>
      <c r="C106" t="s">
        <v>25</v>
      </c>
      <c r="D106" s="11">
        <v>9.95</v>
      </c>
      <c r="E106" s="13">
        <v>202</v>
      </c>
      <c r="F106" s="11">
        <v>2.85</v>
      </c>
      <c r="G106" t="e">
        <v>#VALUE!</v>
      </c>
      <c r="H106" t="e" cm="1">
        <f t="array" ref="H106">_FV(G106,"Country/region",TRUE)</f>
        <v>#NAME?</v>
      </c>
      <c r="I106" t="s">
        <v>14</v>
      </c>
      <c r="J106" t="s">
        <v>23</v>
      </c>
      <c r="K106" t="s">
        <v>16</v>
      </c>
      <c r="L106">
        <f>Table1[[#This Row],[Price]]*Table1[[#This Row],[Quantity]]</f>
        <v>2009.9</v>
      </c>
      <c r="M106">
        <f t="shared" si="1"/>
        <v>28.3575</v>
      </c>
    </row>
    <row r="107" spans="1:13">
      <c r="A107" s="11">
        <v>10562</v>
      </c>
      <c r="B107" s="12">
        <v>44894</v>
      </c>
      <c r="C107" t="s">
        <v>13</v>
      </c>
      <c r="D107" s="11">
        <v>3.49</v>
      </c>
      <c r="E107" s="13">
        <v>631</v>
      </c>
      <c r="F107" s="11">
        <v>0.88</v>
      </c>
      <c r="G107" t="e">
        <v>#VALUE!</v>
      </c>
      <c r="H107" t="e" cm="1">
        <f t="array" ref="H107">_FV(G107,"Country/region",TRUE)</f>
        <v>#NAME?</v>
      </c>
      <c r="I107" t="s">
        <v>14</v>
      </c>
      <c r="J107" t="s">
        <v>23</v>
      </c>
      <c r="K107" t="s">
        <v>16</v>
      </c>
      <c r="L107">
        <f>Table1[[#This Row],[Price]]*Table1[[#This Row],[Quantity]]</f>
        <v>2202.19</v>
      </c>
      <c r="M107">
        <f t="shared" si="1"/>
        <v>3.0712</v>
      </c>
    </row>
    <row r="108" spans="1:13">
      <c r="A108" s="11">
        <v>10563</v>
      </c>
      <c r="B108" s="12">
        <v>44894</v>
      </c>
      <c r="C108" t="s">
        <v>17</v>
      </c>
      <c r="D108" s="11">
        <v>2.95</v>
      </c>
      <c r="E108" s="13">
        <v>678</v>
      </c>
      <c r="F108" s="11">
        <v>0.47</v>
      </c>
      <c r="G108" t="e">
        <v>#VALUE!</v>
      </c>
      <c r="H108" t="e" cm="1">
        <f t="array" ref="H108">_FV(G108,"Country/region",TRUE)</f>
        <v>#NAME?</v>
      </c>
      <c r="I108" t="s">
        <v>14</v>
      </c>
      <c r="J108" t="s">
        <v>23</v>
      </c>
      <c r="K108" t="s">
        <v>16</v>
      </c>
      <c r="L108">
        <f>Table1[[#This Row],[Price]]*Table1[[#This Row],[Quantity]]</f>
        <v>2000.1</v>
      </c>
      <c r="M108">
        <f t="shared" si="1"/>
        <v>1.3865</v>
      </c>
    </row>
    <row r="109" spans="1:13">
      <c r="A109" s="11">
        <v>10564</v>
      </c>
      <c r="B109" s="12">
        <v>44894</v>
      </c>
      <c r="C109" t="s">
        <v>19</v>
      </c>
      <c r="D109" s="11">
        <v>4.99</v>
      </c>
      <c r="E109" s="13">
        <v>201</v>
      </c>
      <c r="F109" s="11">
        <v>2.25</v>
      </c>
      <c r="G109" t="e">
        <v>#VALUE!</v>
      </c>
      <c r="H109" t="e" cm="1">
        <f t="array" ref="H109">_FV(G109,"Country/region",TRUE)</f>
        <v>#NAME?</v>
      </c>
      <c r="I109" t="s">
        <v>14</v>
      </c>
      <c r="J109" t="s">
        <v>23</v>
      </c>
      <c r="K109" t="s">
        <v>16</v>
      </c>
      <c r="L109">
        <f>Table1[[#This Row],[Price]]*Table1[[#This Row],[Quantity]]</f>
        <v>1002.99</v>
      </c>
      <c r="M109">
        <f t="shared" si="1"/>
        <v>11.2275</v>
      </c>
    </row>
    <row r="110" spans="1:13">
      <c r="A110" s="11">
        <v>10565</v>
      </c>
      <c r="B110" s="12">
        <v>44895</v>
      </c>
      <c r="C110" t="s">
        <v>22</v>
      </c>
      <c r="D110" s="11">
        <v>12.99</v>
      </c>
      <c r="E110" s="13">
        <v>493</v>
      </c>
      <c r="F110" s="11">
        <v>4.32</v>
      </c>
      <c r="G110" t="e">
        <v>#VALUE!</v>
      </c>
      <c r="H110" t="e" cm="1">
        <f t="array" ref="H110">_FV(G110,"Country/region",TRUE)</f>
        <v>#NAME?</v>
      </c>
      <c r="I110" t="s">
        <v>14</v>
      </c>
      <c r="J110" t="s">
        <v>23</v>
      </c>
      <c r="K110" t="s">
        <v>16</v>
      </c>
      <c r="L110">
        <f>Table1[[#This Row],[Price]]*Table1[[#This Row],[Quantity]]</f>
        <v>6404.07</v>
      </c>
      <c r="M110">
        <f t="shared" si="1"/>
        <v>56.1168</v>
      </c>
    </row>
    <row r="111" spans="1:13">
      <c r="A111" s="11">
        <v>10566</v>
      </c>
      <c r="B111" s="12">
        <v>44895</v>
      </c>
      <c r="C111" t="s">
        <v>25</v>
      </c>
      <c r="D111" s="11">
        <v>9.95</v>
      </c>
      <c r="E111" s="13">
        <v>202</v>
      </c>
      <c r="F111" s="11">
        <v>2.85</v>
      </c>
      <c r="G111" t="e">
        <v>#VALUE!</v>
      </c>
      <c r="H111" t="e" cm="1">
        <f t="array" ref="H111">_FV(G111,"Country/region",TRUE)</f>
        <v>#NAME?</v>
      </c>
      <c r="I111" t="s">
        <v>14</v>
      </c>
      <c r="J111" t="s">
        <v>23</v>
      </c>
      <c r="K111" t="s">
        <v>16</v>
      </c>
      <c r="L111">
        <f>Table1[[#This Row],[Price]]*Table1[[#This Row],[Quantity]]</f>
        <v>2009.9</v>
      </c>
      <c r="M111">
        <f t="shared" si="1"/>
        <v>28.3575</v>
      </c>
    </row>
    <row r="112" spans="1:13">
      <c r="A112" s="11">
        <v>10567</v>
      </c>
      <c r="B112" s="12">
        <v>44895</v>
      </c>
      <c r="C112" t="s">
        <v>13</v>
      </c>
      <c r="D112" s="11">
        <v>3.49</v>
      </c>
      <c r="E112" s="13">
        <v>631</v>
      </c>
      <c r="F112" s="11">
        <v>0.88</v>
      </c>
      <c r="G112" t="e">
        <v>#VALUE!</v>
      </c>
      <c r="H112" t="e" cm="1">
        <f t="array" ref="H112">_FV(G112,"Country/region",TRUE)</f>
        <v>#NAME?</v>
      </c>
      <c r="I112" t="s">
        <v>14</v>
      </c>
      <c r="J112" t="s">
        <v>23</v>
      </c>
      <c r="K112" t="s">
        <v>16</v>
      </c>
      <c r="L112">
        <f>Table1[[#This Row],[Price]]*Table1[[#This Row],[Quantity]]</f>
        <v>2202.19</v>
      </c>
      <c r="M112">
        <f t="shared" si="1"/>
        <v>3.0712</v>
      </c>
    </row>
    <row r="113" spans="1:13">
      <c r="A113" s="11">
        <v>10568</v>
      </c>
      <c r="B113" s="12">
        <v>44895</v>
      </c>
      <c r="C113" t="s">
        <v>17</v>
      </c>
      <c r="D113" s="11">
        <v>2.95</v>
      </c>
      <c r="E113" s="13">
        <v>678</v>
      </c>
      <c r="F113" s="11">
        <v>0.47</v>
      </c>
      <c r="G113" t="e">
        <v>#VALUE!</v>
      </c>
      <c r="H113" t="e" cm="1">
        <f t="array" ref="H113">_FV(G113,"Country/region",TRUE)</f>
        <v>#NAME?</v>
      </c>
      <c r="I113" t="s">
        <v>14</v>
      </c>
      <c r="J113" t="s">
        <v>23</v>
      </c>
      <c r="K113" t="s">
        <v>16</v>
      </c>
      <c r="L113">
        <f>Table1[[#This Row],[Price]]*Table1[[#This Row],[Quantity]]</f>
        <v>2000.1</v>
      </c>
      <c r="M113">
        <f t="shared" si="1"/>
        <v>1.3865</v>
      </c>
    </row>
    <row r="114" spans="1:13">
      <c r="A114" s="11">
        <v>10569</v>
      </c>
      <c r="B114" s="12">
        <v>44895</v>
      </c>
      <c r="C114" t="s">
        <v>19</v>
      </c>
      <c r="D114" s="11">
        <v>4.99</v>
      </c>
      <c r="E114" s="13">
        <v>201</v>
      </c>
      <c r="F114" s="11">
        <v>2.25</v>
      </c>
      <c r="G114" t="e">
        <v>#VALUE!</v>
      </c>
      <c r="H114" t="e" cm="1">
        <f t="array" ref="H114">_FV(G114,"Country/region",TRUE)</f>
        <v>#NAME?</v>
      </c>
      <c r="I114" t="s">
        <v>14</v>
      </c>
      <c r="J114" t="s">
        <v>23</v>
      </c>
      <c r="K114" t="s">
        <v>16</v>
      </c>
      <c r="L114">
        <f>Table1[[#This Row],[Price]]*Table1[[#This Row],[Quantity]]</f>
        <v>1002.99</v>
      </c>
      <c r="M114">
        <f t="shared" si="1"/>
        <v>11.2275</v>
      </c>
    </row>
    <row r="115" spans="1:13">
      <c r="A115" s="11">
        <v>10570</v>
      </c>
      <c r="B115" s="12">
        <v>44896</v>
      </c>
      <c r="C115" t="s">
        <v>22</v>
      </c>
      <c r="D115" s="11">
        <v>12.99</v>
      </c>
      <c r="E115" s="13">
        <v>493</v>
      </c>
      <c r="F115" s="11">
        <v>4.32</v>
      </c>
      <c r="G115" t="e">
        <v>#VALUE!</v>
      </c>
      <c r="H115" t="e" cm="1">
        <f t="array" ref="H115">_FV(G115,"Country/region",TRUE)</f>
        <v>#NAME?</v>
      </c>
      <c r="I115" t="s">
        <v>14</v>
      </c>
      <c r="J115" t="s">
        <v>23</v>
      </c>
      <c r="K115" t="s">
        <v>16</v>
      </c>
      <c r="L115">
        <f>Table1[[#This Row],[Price]]*Table1[[#This Row],[Quantity]]</f>
        <v>6404.07</v>
      </c>
      <c r="M115">
        <f t="shared" si="1"/>
        <v>56.1168</v>
      </c>
    </row>
    <row r="116" spans="1:13">
      <c r="A116" s="11">
        <v>10571</v>
      </c>
      <c r="B116" s="12">
        <v>44896</v>
      </c>
      <c r="C116" t="s">
        <v>25</v>
      </c>
      <c r="D116" s="11">
        <v>9.95</v>
      </c>
      <c r="E116" s="13">
        <v>202</v>
      </c>
      <c r="F116" s="11">
        <v>2.85</v>
      </c>
      <c r="G116" t="e">
        <v>#VALUE!</v>
      </c>
      <c r="H116" t="e" cm="1">
        <f t="array" ref="H116">_FV(G116,"Country/region",TRUE)</f>
        <v>#NAME?</v>
      </c>
      <c r="I116" t="s">
        <v>14</v>
      </c>
      <c r="J116" t="s">
        <v>23</v>
      </c>
      <c r="K116" t="s">
        <v>16</v>
      </c>
      <c r="L116">
        <f>Table1[[#This Row],[Price]]*Table1[[#This Row],[Quantity]]</f>
        <v>2009.9</v>
      </c>
      <c r="M116">
        <f t="shared" si="1"/>
        <v>28.3575</v>
      </c>
    </row>
    <row r="117" spans="1:13">
      <c r="A117" s="11">
        <v>10572</v>
      </c>
      <c r="B117" s="12">
        <v>44896</v>
      </c>
      <c r="C117" t="s">
        <v>13</v>
      </c>
      <c r="D117" s="11">
        <v>3.49</v>
      </c>
      <c r="E117" s="13">
        <v>574</v>
      </c>
      <c r="F117" s="11">
        <v>0.88</v>
      </c>
      <c r="G117" t="e">
        <v>#VALUE!</v>
      </c>
      <c r="H117" t="e" cm="1">
        <f t="array" ref="H117">_FV(G117,"Country/region",TRUE)</f>
        <v>#NAME?</v>
      </c>
      <c r="I117" t="s">
        <v>14</v>
      </c>
      <c r="J117" t="s">
        <v>23</v>
      </c>
      <c r="K117" t="s">
        <v>26</v>
      </c>
      <c r="L117">
        <f>Table1[[#This Row],[Price]]*Table1[[#This Row],[Quantity]]</f>
        <v>2003.26</v>
      </c>
      <c r="M117">
        <f t="shared" si="1"/>
        <v>3.0712</v>
      </c>
    </row>
    <row r="118" spans="1:13">
      <c r="A118" s="11">
        <v>10573</v>
      </c>
      <c r="B118" s="12">
        <v>44896</v>
      </c>
      <c r="C118" t="s">
        <v>17</v>
      </c>
      <c r="D118" s="11">
        <v>2.95</v>
      </c>
      <c r="E118" s="13">
        <v>678</v>
      </c>
      <c r="F118" s="11">
        <v>0.47</v>
      </c>
      <c r="G118" t="e">
        <v>#VALUE!</v>
      </c>
      <c r="H118" t="e" cm="1">
        <f t="array" ref="H118">_FV(G118,"Country/region",TRUE)</f>
        <v>#NAME?</v>
      </c>
      <c r="I118" t="s">
        <v>14</v>
      </c>
      <c r="J118" t="s">
        <v>23</v>
      </c>
      <c r="K118" t="s">
        <v>26</v>
      </c>
      <c r="L118">
        <f>Table1[[#This Row],[Price]]*Table1[[#This Row],[Quantity]]</f>
        <v>2000.1</v>
      </c>
      <c r="M118">
        <f t="shared" si="1"/>
        <v>1.3865</v>
      </c>
    </row>
    <row r="119" spans="1:13">
      <c r="A119" s="11">
        <v>10574</v>
      </c>
      <c r="B119" s="12">
        <v>44896</v>
      </c>
      <c r="C119" t="s">
        <v>19</v>
      </c>
      <c r="D119" s="11">
        <v>4.99</v>
      </c>
      <c r="E119" s="13">
        <v>201</v>
      </c>
      <c r="F119" s="11">
        <v>2.25</v>
      </c>
      <c r="G119" t="e">
        <v>#VALUE!</v>
      </c>
      <c r="H119" t="e" cm="1">
        <f t="array" ref="H119">_FV(G119,"Country/region",TRUE)</f>
        <v>#NAME?</v>
      </c>
      <c r="I119" t="s">
        <v>14</v>
      </c>
      <c r="J119" t="s">
        <v>23</v>
      </c>
      <c r="K119" t="s">
        <v>26</v>
      </c>
      <c r="L119">
        <f>Table1[[#This Row],[Price]]*Table1[[#This Row],[Quantity]]</f>
        <v>1002.99</v>
      </c>
      <c r="M119">
        <f t="shared" si="1"/>
        <v>11.2275</v>
      </c>
    </row>
    <row r="120" spans="1:13">
      <c r="A120" s="11">
        <v>10575</v>
      </c>
      <c r="B120" s="12">
        <v>44897</v>
      </c>
      <c r="C120" t="s">
        <v>22</v>
      </c>
      <c r="D120" s="11">
        <v>12.99</v>
      </c>
      <c r="E120" s="13">
        <v>524</v>
      </c>
      <c r="F120" s="11">
        <v>4.32</v>
      </c>
      <c r="G120" t="e">
        <v>#VALUE!</v>
      </c>
      <c r="H120" t="e" cm="1">
        <f t="array" ref="H120">_FV(G120,"Country/region",TRUE)</f>
        <v>#NAME?</v>
      </c>
      <c r="I120" t="s">
        <v>14</v>
      </c>
      <c r="J120" t="s">
        <v>23</v>
      </c>
      <c r="K120" t="s">
        <v>26</v>
      </c>
      <c r="L120">
        <f>Table1[[#This Row],[Price]]*Table1[[#This Row],[Quantity]]</f>
        <v>6806.76</v>
      </c>
      <c r="M120">
        <f t="shared" si="1"/>
        <v>56.1168</v>
      </c>
    </row>
    <row r="121" spans="1:13">
      <c r="A121" s="11">
        <v>10576</v>
      </c>
      <c r="B121" s="12">
        <v>44897</v>
      </c>
      <c r="C121" t="s">
        <v>25</v>
      </c>
      <c r="D121" s="11">
        <v>9.95</v>
      </c>
      <c r="E121" s="13">
        <v>202</v>
      </c>
      <c r="F121" s="11">
        <v>2.85</v>
      </c>
      <c r="G121" t="e">
        <v>#VALUE!</v>
      </c>
      <c r="H121" t="e" cm="1">
        <f t="array" ref="H121">_FV(G121,"Country/region",TRUE)</f>
        <v>#NAME?</v>
      </c>
      <c r="I121" t="s">
        <v>14</v>
      </c>
      <c r="J121" t="s">
        <v>23</v>
      </c>
      <c r="K121" t="s">
        <v>26</v>
      </c>
      <c r="L121">
        <f>Table1[[#This Row],[Price]]*Table1[[#This Row],[Quantity]]</f>
        <v>2009.9</v>
      </c>
      <c r="M121">
        <f t="shared" si="1"/>
        <v>28.3575</v>
      </c>
    </row>
    <row r="122" spans="1:13">
      <c r="A122" s="11">
        <v>10577</v>
      </c>
      <c r="B122" s="12">
        <v>44897</v>
      </c>
      <c r="C122" t="s">
        <v>13</v>
      </c>
      <c r="D122" s="11">
        <v>3.49</v>
      </c>
      <c r="E122" s="13">
        <v>631</v>
      </c>
      <c r="F122" s="11">
        <v>0.88</v>
      </c>
      <c r="G122" t="e">
        <v>#VALUE!</v>
      </c>
      <c r="H122" t="e" cm="1">
        <f t="array" ref="H122">_FV(G122,"Country/region",TRUE)</f>
        <v>#NAME?</v>
      </c>
      <c r="I122" t="s">
        <v>14</v>
      </c>
      <c r="J122" t="s">
        <v>23</v>
      </c>
      <c r="K122" t="s">
        <v>26</v>
      </c>
      <c r="L122">
        <f>Table1[[#This Row],[Price]]*Table1[[#This Row],[Quantity]]</f>
        <v>2202.19</v>
      </c>
      <c r="M122">
        <f t="shared" si="1"/>
        <v>3.0712</v>
      </c>
    </row>
    <row r="123" spans="1:13">
      <c r="A123" s="11">
        <v>10578</v>
      </c>
      <c r="B123" s="12">
        <v>44897</v>
      </c>
      <c r="C123" t="s">
        <v>17</v>
      </c>
      <c r="D123" s="11">
        <v>2.95</v>
      </c>
      <c r="E123" s="13">
        <v>678</v>
      </c>
      <c r="F123" s="11">
        <v>0.47</v>
      </c>
      <c r="G123" t="e">
        <v>#VALUE!</v>
      </c>
      <c r="H123" t="e" cm="1">
        <f t="array" ref="H123">_FV(G123,"Country/region",TRUE)</f>
        <v>#NAME?</v>
      </c>
      <c r="I123" t="s">
        <v>14</v>
      </c>
      <c r="J123" t="s">
        <v>23</v>
      </c>
      <c r="K123" t="s">
        <v>26</v>
      </c>
      <c r="L123">
        <f>Table1[[#This Row],[Price]]*Table1[[#This Row],[Quantity]]</f>
        <v>2000.1</v>
      </c>
      <c r="M123">
        <f t="shared" si="1"/>
        <v>1.3865</v>
      </c>
    </row>
    <row r="124" spans="1:13">
      <c r="A124" s="11">
        <v>10579</v>
      </c>
      <c r="B124" s="12">
        <v>44897</v>
      </c>
      <c r="C124" t="s">
        <v>19</v>
      </c>
      <c r="D124" s="11">
        <v>4.99</v>
      </c>
      <c r="E124" s="13">
        <v>201</v>
      </c>
      <c r="F124" s="11">
        <v>2.25</v>
      </c>
      <c r="G124" t="e">
        <v>#VALUE!</v>
      </c>
      <c r="H124" t="e" cm="1">
        <f t="array" ref="H124">_FV(G124,"Country/region",TRUE)</f>
        <v>#NAME?</v>
      </c>
      <c r="I124" t="s">
        <v>14</v>
      </c>
      <c r="J124" t="s">
        <v>23</v>
      </c>
      <c r="K124" t="s">
        <v>26</v>
      </c>
      <c r="L124">
        <f>Table1[[#This Row],[Price]]*Table1[[#This Row],[Quantity]]</f>
        <v>1002.99</v>
      </c>
      <c r="M124">
        <f t="shared" si="1"/>
        <v>11.2275</v>
      </c>
    </row>
    <row r="125" spans="1:13">
      <c r="A125" s="11">
        <v>10580</v>
      </c>
      <c r="B125" s="12">
        <v>44898</v>
      </c>
      <c r="C125" t="s">
        <v>22</v>
      </c>
      <c r="D125" s="11">
        <v>12.99</v>
      </c>
      <c r="E125" s="13">
        <v>524</v>
      </c>
      <c r="F125" s="11">
        <v>4.32</v>
      </c>
      <c r="G125" t="e">
        <v>#VALUE!</v>
      </c>
      <c r="H125" t="e" cm="1">
        <f t="array" ref="H125">_FV(G125,"Country/region",TRUE)</f>
        <v>#NAME?</v>
      </c>
      <c r="I125" t="s">
        <v>14</v>
      </c>
      <c r="J125" t="s">
        <v>23</v>
      </c>
      <c r="K125" t="s">
        <v>26</v>
      </c>
      <c r="L125">
        <f>Table1[[#This Row],[Price]]*Table1[[#This Row],[Quantity]]</f>
        <v>6806.76</v>
      </c>
      <c r="M125">
        <f t="shared" si="1"/>
        <v>56.1168</v>
      </c>
    </row>
    <row r="126" spans="1:13">
      <c r="A126" s="11">
        <v>10581</v>
      </c>
      <c r="B126" s="12">
        <v>44898</v>
      </c>
      <c r="C126" t="s">
        <v>25</v>
      </c>
      <c r="D126" s="11">
        <v>9.95</v>
      </c>
      <c r="E126" s="13">
        <v>202</v>
      </c>
      <c r="F126" s="11">
        <v>2.85</v>
      </c>
      <c r="G126" t="e">
        <v>#VALUE!</v>
      </c>
      <c r="H126" t="e" cm="1">
        <f t="array" ref="H126">_FV(G126,"Country/region",TRUE)</f>
        <v>#NAME?</v>
      </c>
      <c r="I126" t="s">
        <v>14</v>
      </c>
      <c r="J126" t="s">
        <v>23</v>
      </c>
      <c r="K126" t="s">
        <v>26</v>
      </c>
      <c r="L126">
        <f>Table1[[#This Row],[Price]]*Table1[[#This Row],[Quantity]]</f>
        <v>2009.9</v>
      </c>
      <c r="M126">
        <f t="shared" si="1"/>
        <v>28.3575</v>
      </c>
    </row>
    <row r="127" spans="1:13">
      <c r="A127" s="11">
        <v>10582</v>
      </c>
      <c r="B127" s="12">
        <v>44898</v>
      </c>
      <c r="C127" t="s">
        <v>13</v>
      </c>
      <c r="D127" s="11">
        <v>3.49</v>
      </c>
      <c r="E127" s="13">
        <v>631</v>
      </c>
      <c r="F127" s="11">
        <v>0.88</v>
      </c>
      <c r="G127" t="e">
        <v>#VALUE!</v>
      </c>
      <c r="H127" t="e" cm="1">
        <f t="array" ref="H127">_FV(G127,"Country/region",TRUE)</f>
        <v>#NAME?</v>
      </c>
      <c r="I127" t="s">
        <v>14</v>
      </c>
      <c r="J127" t="s">
        <v>23</v>
      </c>
      <c r="K127" t="s">
        <v>16</v>
      </c>
      <c r="L127">
        <f>Table1[[#This Row],[Price]]*Table1[[#This Row],[Quantity]]</f>
        <v>2202.19</v>
      </c>
      <c r="M127">
        <f t="shared" si="1"/>
        <v>3.0712</v>
      </c>
    </row>
    <row r="128" spans="1:13">
      <c r="A128" s="11">
        <v>10583</v>
      </c>
      <c r="B128" s="12">
        <v>44898</v>
      </c>
      <c r="C128" t="s">
        <v>17</v>
      </c>
      <c r="D128" s="11">
        <v>2.95</v>
      </c>
      <c r="E128" s="13">
        <v>678</v>
      </c>
      <c r="F128" s="11">
        <v>0.47</v>
      </c>
      <c r="G128" t="e">
        <v>#VALUE!</v>
      </c>
      <c r="H128" t="e" cm="1">
        <f t="array" ref="H128">_FV(G128,"Country/region",TRUE)</f>
        <v>#NAME?</v>
      </c>
      <c r="I128" t="s">
        <v>14</v>
      </c>
      <c r="J128" t="s">
        <v>23</v>
      </c>
      <c r="K128" t="s">
        <v>16</v>
      </c>
      <c r="L128">
        <f>Table1[[#This Row],[Price]]*Table1[[#This Row],[Quantity]]</f>
        <v>2000.1</v>
      </c>
      <c r="M128">
        <f t="shared" si="1"/>
        <v>1.3865</v>
      </c>
    </row>
    <row r="129" spans="1:13">
      <c r="A129" s="11">
        <v>10584</v>
      </c>
      <c r="B129" s="12">
        <v>44898</v>
      </c>
      <c r="C129" t="s">
        <v>19</v>
      </c>
      <c r="D129" s="11">
        <v>4.99</v>
      </c>
      <c r="E129" s="13">
        <v>201</v>
      </c>
      <c r="F129" s="11">
        <v>2.25</v>
      </c>
      <c r="G129" t="e">
        <v>#VALUE!</v>
      </c>
      <c r="H129" t="e" cm="1">
        <f t="array" ref="H129">_FV(G129,"Country/region",TRUE)</f>
        <v>#NAME?</v>
      </c>
      <c r="I129" t="s">
        <v>14</v>
      </c>
      <c r="J129" t="s">
        <v>23</v>
      </c>
      <c r="K129" t="s">
        <v>16</v>
      </c>
      <c r="L129">
        <f>Table1[[#This Row],[Price]]*Table1[[#This Row],[Quantity]]</f>
        <v>1002.99</v>
      </c>
      <c r="M129">
        <f t="shared" si="1"/>
        <v>11.2275</v>
      </c>
    </row>
    <row r="130" spans="1:13">
      <c r="A130" s="11">
        <v>10585</v>
      </c>
      <c r="B130" s="12">
        <v>44899</v>
      </c>
      <c r="C130" t="s">
        <v>22</v>
      </c>
      <c r="D130" s="11">
        <v>12.99</v>
      </c>
      <c r="E130" s="13">
        <v>539</v>
      </c>
      <c r="F130" s="11">
        <v>4.32</v>
      </c>
      <c r="G130" t="e">
        <v>#VALUE!</v>
      </c>
      <c r="H130" t="e" cm="1">
        <f t="array" ref="H130">_FV(G130,"Country/region",TRUE)</f>
        <v>#NAME?</v>
      </c>
      <c r="I130" t="s">
        <v>14</v>
      </c>
      <c r="J130" t="s">
        <v>23</v>
      </c>
      <c r="K130" t="s">
        <v>16</v>
      </c>
      <c r="L130">
        <f>Table1[[#This Row],[Price]]*Table1[[#This Row],[Quantity]]</f>
        <v>7001.61</v>
      </c>
      <c r="M130">
        <f t="shared" ref="M130:M193" si="2">D130*F130</f>
        <v>56.1168</v>
      </c>
    </row>
    <row r="131" spans="1:13">
      <c r="A131" s="11">
        <v>10586</v>
      </c>
      <c r="B131" s="12">
        <v>44899</v>
      </c>
      <c r="C131" t="s">
        <v>25</v>
      </c>
      <c r="D131" s="11">
        <v>9.95</v>
      </c>
      <c r="E131" s="13">
        <v>202</v>
      </c>
      <c r="F131" s="11">
        <v>2.85</v>
      </c>
      <c r="G131" t="e">
        <v>#VALUE!</v>
      </c>
      <c r="H131" t="e" cm="1">
        <f t="array" ref="H131">_FV(G131,"Country/region",TRUE)</f>
        <v>#NAME?</v>
      </c>
      <c r="I131" t="s">
        <v>14</v>
      </c>
      <c r="J131" t="s">
        <v>23</v>
      </c>
      <c r="K131" t="s">
        <v>16</v>
      </c>
      <c r="L131">
        <f>Table1[[#This Row],[Price]]*Table1[[#This Row],[Quantity]]</f>
        <v>2009.9</v>
      </c>
      <c r="M131">
        <f t="shared" si="2"/>
        <v>28.3575</v>
      </c>
    </row>
    <row r="132" spans="1:13">
      <c r="A132" s="11">
        <v>10590</v>
      </c>
      <c r="B132" s="12">
        <v>44900</v>
      </c>
      <c r="C132" t="s">
        <v>22</v>
      </c>
      <c r="D132" s="11">
        <v>12.99</v>
      </c>
      <c r="E132" s="13">
        <v>555</v>
      </c>
      <c r="F132" s="11">
        <v>4.32</v>
      </c>
      <c r="G132" t="e">
        <v>#VALUE!</v>
      </c>
      <c r="H132" t="e" cm="1">
        <f t="array" ref="H132">_FV(G132,"Country/region",TRUE)</f>
        <v>#NAME?</v>
      </c>
      <c r="I132" t="s">
        <v>14</v>
      </c>
      <c r="J132" t="s">
        <v>23</v>
      </c>
      <c r="K132" t="s">
        <v>16</v>
      </c>
      <c r="L132">
        <f>Table1[[#This Row],[Price]]*Table1[[#This Row],[Quantity]]</f>
        <v>7209.45</v>
      </c>
      <c r="M132">
        <f t="shared" si="2"/>
        <v>56.1168</v>
      </c>
    </row>
    <row r="133" spans="1:13">
      <c r="A133" s="11">
        <v>10591</v>
      </c>
      <c r="B133" s="12">
        <v>44900</v>
      </c>
      <c r="C133" t="s">
        <v>25</v>
      </c>
      <c r="D133" s="11">
        <v>9.95</v>
      </c>
      <c r="E133" s="13">
        <v>202</v>
      </c>
      <c r="F133" s="11">
        <v>2.85</v>
      </c>
      <c r="G133" t="e">
        <v>#VALUE!</v>
      </c>
      <c r="H133" t="e" cm="1">
        <f t="array" ref="H133">_FV(G133,"Country/region",TRUE)</f>
        <v>#NAME?</v>
      </c>
      <c r="I133" t="s">
        <v>14</v>
      </c>
      <c r="J133" t="s">
        <v>23</v>
      </c>
      <c r="K133" t="s">
        <v>16</v>
      </c>
      <c r="L133">
        <f>Table1[[#This Row],[Price]]*Table1[[#This Row],[Quantity]]</f>
        <v>2009.9</v>
      </c>
      <c r="M133">
        <f t="shared" si="2"/>
        <v>28.3575</v>
      </c>
    </row>
    <row r="134" spans="1:13">
      <c r="A134" s="11">
        <v>10592</v>
      </c>
      <c r="B134" s="12">
        <v>44900</v>
      </c>
      <c r="C134" t="s">
        <v>13</v>
      </c>
      <c r="D134" s="11">
        <v>3.49</v>
      </c>
      <c r="E134" s="13">
        <v>574</v>
      </c>
      <c r="F134" s="11">
        <v>0.88</v>
      </c>
      <c r="G134" t="e">
        <v>#VALUE!</v>
      </c>
      <c r="H134" t="e" cm="1">
        <f t="array" ref="H134">_FV(G134,"Country/region",TRUE)</f>
        <v>#NAME?</v>
      </c>
      <c r="I134" t="s">
        <v>14</v>
      </c>
      <c r="J134" t="s">
        <v>23</v>
      </c>
      <c r="K134" t="s">
        <v>16</v>
      </c>
      <c r="L134">
        <f>Table1[[#This Row],[Price]]*Table1[[#This Row],[Quantity]]</f>
        <v>2003.26</v>
      </c>
      <c r="M134">
        <f t="shared" si="2"/>
        <v>3.0712</v>
      </c>
    </row>
    <row r="135" spans="1:13">
      <c r="A135" s="11">
        <v>10593</v>
      </c>
      <c r="B135" s="12">
        <v>44900</v>
      </c>
      <c r="C135" t="s">
        <v>17</v>
      </c>
      <c r="D135" s="11">
        <v>2.95</v>
      </c>
      <c r="E135" s="13">
        <v>678</v>
      </c>
      <c r="F135" s="11">
        <v>0.47</v>
      </c>
      <c r="G135" t="e">
        <v>#VALUE!</v>
      </c>
      <c r="H135" t="e" cm="1">
        <f t="array" ref="H135">_FV(G135,"Country/region",TRUE)</f>
        <v>#NAME?</v>
      </c>
      <c r="I135" t="s">
        <v>14</v>
      </c>
      <c r="J135" t="s">
        <v>23</v>
      </c>
      <c r="K135" t="s">
        <v>16</v>
      </c>
      <c r="L135">
        <f>Table1[[#This Row],[Price]]*Table1[[#This Row],[Quantity]]</f>
        <v>2000.1</v>
      </c>
      <c r="M135">
        <f t="shared" si="2"/>
        <v>1.3865</v>
      </c>
    </row>
    <row r="136" spans="1:13">
      <c r="A136" s="11">
        <v>10594</v>
      </c>
      <c r="B136" s="12">
        <v>44900</v>
      </c>
      <c r="C136" t="s">
        <v>19</v>
      </c>
      <c r="D136" s="11">
        <v>4.99</v>
      </c>
      <c r="E136" s="13">
        <v>201</v>
      </c>
      <c r="F136" s="11">
        <v>2.25</v>
      </c>
      <c r="G136" t="e">
        <v>#VALUE!</v>
      </c>
      <c r="H136" t="e" cm="1">
        <f t="array" ref="H136">_FV(G136,"Country/region",TRUE)</f>
        <v>#NAME?</v>
      </c>
      <c r="I136" t="s">
        <v>14</v>
      </c>
      <c r="J136" t="s">
        <v>23</v>
      </c>
      <c r="K136" t="s">
        <v>16</v>
      </c>
      <c r="L136">
        <f>Table1[[#This Row],[Price]]*Table1[[#This Row],[Quantity]]</f>
        <v>1002.99</v>
      </c>
      <c r="M136">
        <f t="shared" si="2"/>
        <v>11.2275</v>
      </c>
    </row>
    <row r="137" spans="1:13">
      <c r="A137" s="11">
        <v>10595</v>
      </c>
      <c r="B137" s="12">
        <v>44901</v>
      </c>
      <c r="C137" t="s">
        <v>22</v>
      </c>
      <c r="D137" s="11">
        <v>12.99</v>
      </c>
      <c r="E137" s="13">
        <v>539</v>
      </c>
      <c r="F137" s="11">
        <v>4.32</v>
      </c>
      <c r="G137" t="e">
        <v>#VALUE!</v>
      </c>
      <c r="H137" t="e" cm="1">
        <f t="array" ref="H137">_FV(G137,"Country/region",TRUE)</f>
        <v>#NAME?</v>
      </c>
      <c r="I137" t="s">
        <v>14</v>
      </c>
      <c r="J137" t="s">
        <v>23</v>
      </c>
      <c r="K137" t="s">
        <v>16</v>
      </c>
      <c r="L137">
        <f>Table1[[#This Row],[Price]]*Table1[[#This Row],[Quantity]]</f>
        <v>7001.61</v>
      </c>
      <c r="M137">
        <f t="shared" si="2"/>
        <v>56.1168</v>
      </c>
    </row>
    <row r="138" spans="1:13">
      <c r="A138" s="11">
        <v>10596</v>
      </c>
      <c r="B138" s="12">
        <v>44901</v>
      </c>
      <c r="C138" t="s">
        <v>25</v>
      </c>
      <c r="D138" s="11">
        <v>9.95</v>
      </c>
      <c r="E138" s="13">
        <v>202</v>
      </c>
      <c r="F138" s="11">
        <v>2.85</v>
      </c>
      <c r="G138" t="e">
        <v>#VALUE!</v>
      </c>
      <c r="H138" t="e" cm="1">
        <f t="array" ref="H138">_FV(G138,"Country/region",TRUE)</f>
        <v>#NAME?</v>
      </c>
      <c r="I138" t="s">
        <v>14</v>
      </c>
      <c r="J138" t="s">
        <v>23</v>
      </c>
      <c r="K138" t="s">
        <v>16</v>
      </c>
      <c r="L138">
        <f>Table1[[#This Row],[Price]]*Table1[[#This Row],[Quantity]]</f>
        <v>2009.9</v>
      </c>
      <c r="M138">
        <f t="shared" si="2"/>
        <v>28.3575</v>
      </c>
    </row>
    <row r="139" spans="1:13">
      <c r="A139" s="11">
        <v>10597</v>
      </c>
      <c r="B139" s="12">
        <v>44901</v>
      </c>
      <c r="C139" t="s">
        <v>13</v>
      </c>
      <c r="D139" s="11">
        <v>3.49</v>
      </c>
      <c r="E139" s="13">
        <v>574</v>
      </c>
      <c r="F139" s="11">
        <v>0.88</v>
      </c>
      <c r="G139" t="e">
        <v>#VALUE!</v>
      </c>
      <c r="H139" t="e" cm="1">
        <f t="array" ref="H139">_FV(G139,"Country/region",TRUE)</f>
        <v>#NAME?</v>
      </c>
      <c r="I139" t="s">
        <v>14</v>
      </c>
      <c r="J139" t="s">
        <v>23</v>
      </c>
      <c r="K139" t="s">
        <v>16</v>
      </c>
      <c r="L139">
        <f>Table1[[#This Row],[Price]]*Table1[[#This Row],[Quantity]]</f>
        <v>2003.26</v>
      </c>
      <c r="M139">
        <f t="shared" si="2"/>
        <v>3.0712</v>
      </c>
    </row>
    <row r="140" spans="1:13">
      <c r="A140" s="11">
        <v>10598</v>
      </c>
      <c r="B140" s="12">
        <v>44901</v>
      </c>
      <c r="C140" t="s">
        <v>17</v>
      </c>
      <c r="D140" s="11">
        <v>2.95</v>
      </c>
      <c r="E140" s="13">
        <v>678</v>
      </c>
      <c r="F140" s="11">
        <v>0.47</v>
      </c>
      <c r="G140" t="e">
        <v>#VALUE!</v>
      </c>
      <c r="H140" t="e" cm="1">
        <f t="array" ref="H140">_FV(G140,"Country/region",TRUE)</f>
        <v>#NAME?</v>
      </c>
      <c r="I140" t="s">
        <v>14</v>
      </c>
      <c r="J140" t="s">
        <v>23</v>
      </c>
      <c r="K140" t="s">
        <v>16</v>
      </c>
      <c r="L140">
        <f>Table1[[#This Row],[Price]]*Table1[[#This Row],[Quantity]]</f>
        <v>2000.1</v>
      </c>
      <c r="M140">
        <f t="shared" si="2"/>
        <v>1.3865</v>
      </c>
    </row>
    <row r="141" spans="1:13">
      <c r="A141" s="11">
        <v>10599</v>
      </c>
      <c r="B141" s="12">
        <v>44901</v>
      </c>
      <c r="C141" t="s">
        <v>19</v>
      </c>
      <c r="D141" s="11">
        <v>4.99</v>
      </c>
      <c r="E141" s="13">
        <v>201</v>
      </c>
      <c r="F141" s="11">
        <v>2.25</v>
      </c>
      <c r="G141" t="e">
        <v>#VALUE!</v>
      </c>
      <c r="H141" t="e" cm="1">
        <f t="array" ref="H141">_FV(G141,"Country/region",TRUE)</f>
        <v>#NAME?</v>
      </c>
      <c r="I141" t="s">
        <v>14</v>
      </c>
      <c r="J141" t="s">
        <v>23</v>
      </c>
      <c r="K141" t="s">
        <v>16</v>
      </c>
      <c r="L141">
        <f>Table1[[#This Row],[Price]]*Table1[[#This Row],[Quantity]]</f>
        <v>1002.99</v>
      </c>
      <c r="M141">
        <f t="shared" si="2"/>
        <v>11.2275</v>
      </c>
    </row>
    <row r="142" spans="1:13">
      <c r="A142" s="11">
        <v>10600</v>
      </c>
      <c r="B142" s="12">
        <v>44902</v>
      </c>
      <c r="C142" t="s">
        <v>22</v>
      </c>
      <c r="D142" s="11">
        <v>12.99</v>
      </c>
      <c r="E142" s="13">
        <v>524</v>
      </c>
      <c r="F142" s="11">
        <v>4.32</v>
      </c>
      <c r="G142" t="e">
        <v>#VALUE!</v>
      </c>
      <c r="H142" t="e" cm="1">
        <f t="array" ref="H142">_FV(G142,"Country/region",TRUE)</f>
        <v>#NAME?</v>
      </c>
      <c r="I142" t="s">
        <v>14</v>
      </c>
      <c r="J142" t="s">
        <v>23</v>
      </c>
      <c r="K142" t="s">
        <v>16</v>
      </c>
      <c r="L142">
        <f>Table1[[#This Row],[Price]]*Table1[[#This Row],[Quantity]]</f>
        <v>6806.76</v>
      </c>
      <c r="M142">
        <f t="shared" si="2"/>
        <v>56.1168</v>
      </c>
    </row>
    <row r="143" spans="1:13">
      <c r="A143" s="11">
        <v>10601</v>
      </c>
      <c r="B143" s="12">
        <v>44902</v>
      </c>
      <c r="C143" t="s">
        <v>25</v>
      </c>
      <c r="D143" s="11">
        <v>9.95</v>
      </c>
      <c r="E143" s="13">
        <v>202</v>
      </c>
      <c r="F143" s="11">
        <v>2.85</v>
      </c>
      <c r="G143" t="e">
        <v>#VALUE!</v>
      </c>
      <c r="H143" t="e" cm="1">
        <f t="array" ref="H143">_FV(G143,"Country/region",TRUE)</f>
        <v>#NAME?</v>
      </c>
      <c r="I143" t="s">
        <v>14</v>
      </c>
      <c r="J143" t="s">
        <v>23</v>
      </c>
      <c r="K143" t="s">
        <v>16</v>
      </c>
      <c r="L143">
        <f>Table1[[#This Row],[Price]]*Table1[[#This Row],[Quantity]]</f>
        <v>2009.9</v>
      </c>
      <c r="M143">
        <f t="shared" si="2"/>
        <v>28.3575</v>
      </c>
    </row>
    <row r="144" spans="1:13">
      <c r="A144" s="11">
        <v>10602</v>
      </c>
      <c r="B144" s="12">
        <v>44902</v>
      </c>
      <c r="C144" t="s">
        <v>13</v>
      </c>
      <c r="D144" s="11">
        <v>3.49</v>
      </c>
      <c r="E144" s="13">
        <v>631</v>
      </c>
      <c r="F144" s="11">
        <v>0.88</v>
      </c>
      <c r="G144" t="e">
        <v>#VALUE!</v>
      </c>
      <c r="H144" t="e" cm="1">
        <f t="array" ref="H144">_FV(G144,"Country/region",TRUE)</f>
        <v>#NAME?</v>
      </c>
      <c r="I144" t="s">
        <v>14</v>
      </c>
      <c r="J144" t="s">
        <v>28</v>
      </c>
      <c r="K144" t="s">
        <v>16</v>
      </c>
      <c r="L144">
        <f>Table1[[#This Row],[Price]]*Table1[[#This Row],[Quantity]]</f>
        <v>2202.19</v>
      </c>
      <c r="M144">
        <f t="shared" si="2"/>
        <v>3.0712</v>
      </c>
    </row>
    <row r="145" spans="1:13">
      <c r="A145" s="11">
        <v>10603</v>
      </c>
      <c r="B145" s="12">
        <v>44902</v>
      </c>
      <c r="C145" t="s">
        <v>17</v>
      </c>
      <c r="D145" s="11">
        <v>2.95</v>
      </c>
      <c r="E145" s="13">
        <v>678</v>
      </c>
      <c r="F145" s="11">
        <v>0.47</v>
      </c>
      <c r="G145" t="e">
        <v>#VALUE!</v>
      </c>
      <c r="H145" t="e" cm="1">
        <f t="array" ref="H145">_FV(G145,"Country/region",TRUE)</f>
        <v>#NAME?</v>
      </c>
      <c r="I145" t="s">
        <v>14</v>
      </c>
      <c r="J145" t="s">
        <v>28</v>
      </c>
      <c r="K145" t="s">
        <v>16</v>
      </c>
      <c r="L145">
        <f>Table1[[#This Row],[Price]]*Table1[[#This Row],[Quantity]]</f>
        <v>2000.1</v>
      </c>
      <c r="M145">
        <f t="shared" si="2"/>
        <v>1.3865</v>
      </c>
    </row>
    <row r="146" spans="1:13">
      <c r="A146" s="11">
        <v>10604</v>
      </c>
      <c r="B146" s="12">
        <v>44902</v>
      </c>
      <c r="C146" t="s">
        <v>19</v>
      </c>
      <c r="D146" s="11">
        <v>4.99</v>
      </c>
      <c r="E146" s="13">
        <v>201</v>
      </c>
      <c r="F146" s="11">
        <v>2.25</v>
      </c>
      <c r="G146" t="e">
        <v>#VALUE!</v>
      </c>
      <c r="H146" t="e" cm="1">
        <f t="array" ref="H146">_FV(G146,"Country/region",TRUE)</f>
        <v>#NAME?</v>
      </c>
      <c r="I146" t="s">
        <v>14</v>
      </c>
      <c r="J146" t="s">
        <v>28</v>
      </c>
      <c r="K146" t="s">
        <v>16</v>
      </c>
      <c r="L146">
        <f>Table1[[#This Row],[Price]]*Table1[[#This Row],[Quantity]]</f>
        <v>1002.99</v>
      </c>
      <c r="M146">
        <f t="shared" si="2"/>
        <v>11.2275</v>
      </c>
    </row>
    <row r="147" spans="1:13">
      <c r="A147" s="11">
        <v>10605</v>
      </c>
      <c r="B147" s="12">
        <v>44903</v>
      </c>
      <c r="C147" t="s">
        <v>22</v>
      </c>
      <c r="D147" s="11">
        <v>12.99</v>
      </c>
      <c r="E147" s="13">
        <v>539</v>
      </c>
      <c r="F147" s="11">
        <v>4.32</v>
      </c>
      <c r="G147" t="e">
        <v>#VALUE!</v>
      </c>
      <c r="H147" t="e" cm="1">
        <f t="array" ref="H147">_FV(G147,"Country/region",TRUE)</f>
        <v>#NAME?</v>
      </c>
      <c r="I147" t="s">
        <v>14</v>
      </c>
      <c r="J147" t="s">
        <v>28</v>
      </c>
      <c r="K147" t="s">
        <v>16</v>
      </c>
      <c r="L147">
        <f>Table1[[#This Row],[Price]]*Table1[[#This Row],[Quantity]]</f>
        <v>7001.61</v>
      </c>
      <c r="M147">
        <f t="shared" si="2"/>
        <v>56.1168</v>
      </c>
    </row>
    <row r="148" spans="1:13">
      <c r="A148" s="11">
        <v>10606</v>
      </c>
      <c r="B148" s="12">
        <v>44903</v>
      </c>
      <c r="C148" t="s">
        <v>25</v>
      </c>
      <c r="D148" s="11">
        <v>9.95</v>
      </c>
      <c r="E148" s="13">
        <v>202</v>
      </c>
      <c r="F148" s="11">
        <v>2.85</v>
      </c>
      <c r="G148" t="e">
        <v>#VALUE!</v>
      </c>
      <c r="H148" t="e" cm="1">
        <f t="array" ref="H148">_FV(G148,"Country/region",TRUE)</f>
        <v>#NAME?</v>
      </c>
      <c r="I148" t="s">
        <v>14</v>
      </c>
      <c r="J148" t="s">
        <v>28</v>
      </c>
      <c r="K148" t="s">
        <v>16</v>
      </c>
      <c r="L148">
        <f>Table1[[#This Row],[Price]]*Table1[[#This Row],[Quantity]]</f>
        <v>2009.9</v>
      </c>
      <c r="M148">
        <f t="shared" si="2"/>
        <v>28.3575</v>
      </c>
    </row>
    <row r="149" spans="1:13">
      <c r="A149" s="11">
        <v>10607</v>
      </c>
      <c r="B149" s="12">
        <v>44903</v>
      </c>
      <c r="C149" t="s">
        <v>13</v>
      </c>
      <c r="D149" s="11">
        <v>3.49</v>
      </c>
      <c r="E149" s="13">
        <v>631</v>
      </c>
      <c r="F149" s="11">
        <v>0.88</v>
      </c>
      <c r="G149" t="e">
        <v>#VALUE!</v>
      </c>
      <c r="H149" t="e" cm="1">
        <f t="array" ref="H149">_FV(G149,"Country/region",TRUE)</f>
        <v>#NAME?</v>
      </c>
      <c r="I149" t="s">
        <v>14</v>
      </c>
      <c r="J149" t="s">
        <v>28</v>
      </c>
      <c r="K149" t="s">
        <v>16</v>
      </c>
      <c r="L149">
        <f>Table1[[#This Row],[Price]]*Table1[[#This Row],[Quantity]]</f>
        <v>2202.19</v>
      </c>
      <c r="M149">
        <f t="shared" si="2"/>
        <v>3.0712</v>
      </c>
    </row>
    <row r="150" spans="1:13">
      <c r="A150" s="11">
        <v>10608</v>
      </c>
      <c r="B150" s="12">
        <v>44903</v>
      </c>
      <c r="C150" t="s">
        <v>17</v>
      </c>
      <c r="D150" s="11">
        <v>2.95</v>
      </c>
      <c r="E150" s="13">
        <v>678</v>
      </c>
      <c r="F150" s="11">
        <v>0.47</v>
      </c>
      <c r="G150" t="e">
        <v>#VALUE!</v>
      </c>
      <c r="H150" t="e" cm="1">
        <f t="array" ref="H150">_FV(G150,"Country/region",TRUE)</f>
        <v>#NAME?</v>
      </c>
      <c r="I150" t="s">
        <v>14</v>
      </c>
      <c r="J150" t="s">
        <v>15</v>
      </c>
      <c r="K150" t="s">
        <v>16</v>
      </c>
      <c r="L150">
        <f>Table1[[#This Row],[Price]]*Table1[[#This Row],[Quantity]]</f>
        <v>2000.1</v>
      </c>
      <c r="M150">
        <f t="shared" si="2"/>
        <v>1.3865</v>
      </c>
    </row>
    <row r="151" spans="1:13">
      <c r="A151" s="11">
        <v>10609</v>
      </c>
      <c r="B151" s="12">
        <v>44903</v>
      </c>
      <c r="C151" t="s">
        <v>19</v>
      </c>
      <c r="D151" s="11">
        <v>4.99</v>
      </c>
      <c r="E151" s="13">
        <v>201</v>
      </c>
      <c r="F151" s="11">
        <v>2.25</v>
      </c>
      <c r="G151" t="e">
        <v>#VALUE!</v>
      </c>
      <c r="H151" t="e" cm="1">
        <f t="array" ref="H151">_FV(G151,"Country/region",TRUE)</f>
        <v>#NAME?</v>
      </c>
      <c r="I151" t="s">
        <v>14</v>
      </c>
      <c r="J151" t="s">
        <v>15</v>
      </c>
      <c r="K151" t="s">
        <v>16</v>
      </c>
      <c r="L151">
        <f>Table1[[#This Row],[Price]]*Table1[[#This Row],[Quantity]]</f>
        <v>1002.99</v>
      </c>
      <c r="M151">
        <f t="shared" si="2"/>
        <v>11.2275</v>
      </c>
    </row>
    <row r="152" spans="1:13">
      <c r="A152" s="11">
        <v>10610</v>
      </c>
      <c r="B152" s="12">
        <v>44904</v>
      </c>
      <c r="C152" t="s">
        <v>22</v>
      </c>
      <c r="D152" s="11">
        <v>12.99</v>
      </c>
      <c r="E152" s="13">
        <v>570</v>
      </c>
      <c r="F152" s="11">
        <v>4.32</v>
      </c>
      <c r="G152" t="e">
        <v>#VALUE!</v>
      </c>
      <c r="H152" t="e" cm="1">
        <f t="array" ref="H152">_FV(G152,"Country/region",TRUE)</f>
        <v>#NAME?</v>
      </c>
      <c r="I152" t="s">
        <v>14</v>
      </c>
      <c r="J152" t="s">
        <v>15</v>
      </c>
      <c r="K152" t="s">
        <v>16</v>
      </c>
      <c r="L152">
        <f>Table1[[#This Row],[Price]]*Table1[[#This Row],[Quantity]]</f>
        <v>7404.3</v>
      </c>
      <c r="M152">
        <f t="shared" si="2"/>
        <v>56.1168</v>
      </c>
    </row>
    <row r="153" spans="1:13">
      <c r="A153" s="11">
        <v>10611</v>
      </c>
      <c r="B153" s="12">
        <v>44904</v>
      </c>
      <c r="C153" t="s">
        <v>25</v>
      </c>
      <c r="D153" s="11">
        <v>9.95</v>
      </c>
      <c r="E153" s="13">
        <v>202</v>
      </c>
      <c r="F153" s="11">
        <v>2.85</v>
      </c>
      <c r="G153" t="e">
        <v>#VALUE!</v>
      </c>
      <c r="H153" t="e" cm="1">
        <f t="array" ref="H153">_FV(G153,"Country/region",TRUE)</f>
        <v>#NAME?</v>
      </c>
      <c r="I153" t="s">
        <v>14</v>
      </c>
      <c r="J153" t="s">
        <v>15</v>
      </c>
      <c r="K153" t="s">
        <v>16</v>
      </c>
      <c r="L153">
        <f>Table1[[#This Row],[Price]]*Table1[[#This Row],[Quantity]]</f>
        <v>2009.9</v>
      </c>
      <c r="M153">
        <f t="shared" si="2"/>
        <v>28.3575</v>
      </c>
    </row>
    <row r="154" spans="1:13">
      <c r="A154" s="11">
        <v>10612</v>
      </c>
      <c r="B154" s="12">
        <v>44904</v>
      </c>
      <c r="C154" t="s">
        <v>13</v>
      </c>
      <c r="D154" s="11">
        <v>3.49</v>
      </c>
      <c r="E154" s="13">
        <v>631</v>
      </c>
      <c r="F154" s="11">
        <v>0.88</v>
      </c>
      <c r="G154" t="e">
        <v>#VALUE!</v>
      </c>
      <c r="H154" t="e" cm="1">
        <f t="array" ref="H154">_FV(G154,"Country/region",TRUE)</f>
        <v>#NAME?</v>
      </c>
      <c r="I154" t="s">
        <v>14</v>
      </c>
      <c r="J154" t="s">
        <v>15</v>
      </c>
      <c r="K154" t="s">
        <v>16</v>
      </c>
      <c r="L154">
        <f>Table1[[#This Row],[Price]]*Table1[[#This Row],[Quantity]]</f>
        <v>2202.19</v>
      </c>
      <c r="M154">
        <f t="shared" si="2"/>
        <v>3.0712</v>
      </c>
    </row>
    <row r="155" spans="1:13">
      <c r="A155" s="11">
        <v>10613</v>
      </c>
      <c r="B155" s="12">
        <v>44904</v>
      </c>
      <c r="C155" t="s">
        <v>17</v>
      </c>
      <c r="D155" s="11">
        <v>2.95</v>
      </c>
      <c r="E155" s="13">
        <v>678</v>
      </c>
      <c r="F155" s="11">
        <v>0.47</v>
      </c>
      <c r="G155" t="e">
        <v>#VALUE!</v>
      </c>
      <c r="H155" t="e" cm="1">
        <f t="array" ref="H155">_FV(G155,"Country/region",TRUE)</f>
        <v>#NAME?</v>
      </c>
      <c r="I155" t="s">
        <v>14</v>
      </c>
      <c r="J155" t="s">
        <v>15</v>
      </c>
      <c r="K155" t="s">
        <v>16</v>
      </c>
      <c r="L155">
        <f>Table1[[#This Row],[Price]]*Table1[[#This Row],[Quantity]]</f>
        <v>2000.1</v>
      </c>
      <c r="M155">
        <f t="shared" si="2"/>
        <v>1.3865</v>
      </c>
    </row>
    <row r="156" spans="1:13">
      <c r="A156" s="11">
        <v>10614</v>
      </c>
      <c r="B156" s="12">
        <v>44904</v>
      </c>
      <c r="C156" t="s">
        <v>19</v>
      </c>
      <c r="D156" s="11">
        <v>4.99</v>
      </c>
      <c r="E156" s="13">
        <v>201</v>
      </c>
      <c r="F156" s="11">
        <v>2.25</v>
      </c>
      <c r="G156" t="e">
        <v>#VALUE!</v>
      </c>
      <c r="H156" t="e" cm="1">
        <f t="array" ref="H156">_FV(G156,"Country/region",TRUE)</f>
        <v>#NAME?</v>
      </c>
      <c r="I156" t="s">
        <v>14</v>
      </c>
      <c r="J156" t="s">
        <v>15</v>
      </c>
      <c r="K156" t="s">
        <v>16</v>
      </c>
      <c r="L156">
        <f>Table1[[#This Row],[Price]]*Table1[[#This Row],[Quantity]]</f>
        <v>1002.99</v>
      </c>
      <c r="M156">
        <f t="shared" si="2"/>
        <v>11.2275</v>
      </c>
    </row>
    <row r="157" spans="1:13">
      <c r="A157" s="11">
        <v>10615</v>
      </c>
      <c r="B157" s="12">
        <v>44905</v>
      </c>
      <c r="C157" t="s">
        <v>22</v>
      </c>
      <c r="D157" s="11">
        <v>12.99</v>
      </c>
      <c r="E157" s="13">
        <v>570</v>
      </c>
      <c r="F157" s="11">
        <v>4.32</v>
      </c>
      <c r="G157" t="e">
        <v>#VALUE!</v>
      </c>
      <c r="H157" t="e" cm="1">
        <f t="array" ref="H157">_FV(G157,"Country/region",TRUE)</f>
        <v>#NAME?</v>
      </c>
      <c r="I157" t="s">
        <v>14</v>
      </c>
      <c r="J157" t="s">
        <v>15</v>
      </c>
      <c r="K157" t="s">
        <v>16</v>
      </c>
      <c r="L157">
        <f>Table1[[#This Row],[Price]]*Table1[[#This Row],[Quantity]]</f>
        <v>7404.3</v>
      </c>
      <c r="M157">
        <f t="shared" si="2"/>
        <v>56.1168</v>
      </c>
    </row>
    <row r="158" spans="1:13">
      <c r="A158" s="11">
        <v>10616</v>
      </c>
      <c r="B158" s="12">
        <v>44905</v>
      </c>
      <c r="C158" t="s">
        <v>25</v>
      </c>
      <c r="D158" s="11">
        <v>9.95</v>
      </c>
      <c r="E158" s="13">
        <v>202</v>
      </c>
      <c r="F158" s="11">
        <v>2.85</v>
      </c>
      <c r="G158" t="e">
        <v>#VALUE!</v>
      </c>
      <c r="H158" t="e" cm="1">
        <f t="array" ref="H158">_FV(G158,"Country/region",TRUE)</f>
        <v>#NAME?</v>
      </c>
      <c r="I158" t="s">
        <v>14</v>
      </c>
      <c r="J158" t="s">
        <v>15</v>
      </c>
      <c r="K158" t="s">
        <v>16</v>
      </c>
      <c r="L158">
        <f>Table1[[#This Row],[Price]]*Table1[[#This Row],[Quantity]]</f>
        <v>2009.9</v>
      </c>
      <c r="M158">
        <f t="shared" si="2"/>
        <v>28.3575</v>
      </c>
    </row>
    <row r="159" spans="1:13">
      <c r="A159" s="11">
        <v>10617</v>
      </c>
      <c r="B159" s="12">
        <v>44905</v>
      </c>
      <c r="C159" t="s">
        <v>13</v>
      </c>
      <c r="D159" s="11">
        <v>3.49</v>
      </c>
      <c r="E159" s="13">
        <v>631</v>
      </c>
      <c r="F159" s="11">
        <v>0.88</v>
      </c>
      <c r="G159" t="e">
        <v>#VALUE!</v>
      </c>
      <c r="H159" t="e" cm="1">
        <f t="array" ref="H159">_FV(G159,"Country/region",TRUE)</f>
        <v>#NAME?</v>
      </c>
      <c r="I159" t="s">
        <v>14</v>
      </c>
      <c r="J159" t="s">
        <v>15</v>
      </c>
      <c r="K159" t="s">
        <v>16</v>
      </c>
      <c r="L159">
        <f>Table1[[#This Row],[Price]]*Table1[[#This Row],[Quantity]]</f>
        <v>2202.19</v>
      </c>
      <c r="M159">
        <f t="shared" si="2"/>
        <v>3.0712</v>
      </c>
    </row>
    <row r="160" spans="1:13">
      <c r="A160" s="11">
        <v>10618</v>
      </c>
      <c r="B160" s="12">
        <v>44905</v>
      </c>
      <c r="C160" t="s">
        <v>17</v>
      </c>
      <c r="D160" s="11">
        <v>2.95</v>
      </c>
      <c r="E160" s="13">
        <v>678</v>
      </c>
      <c r="F160" s="11">
        <v>0.47</v>
      </c>
      <c r="G160" t="e">
        <v>#VALUE!</v>
      </c>
      <c r="H160" t="e" cm="1">
        <f t="array" ref="H160">_FV(G160,"Country/region",TRUE)</f>
        <v>#NAME?</v>
      </c>
      <c r="I160" t="s">
        <v>14</v>
      </c>
      <c r="J160" t="s">
        <v>15</v>
      </c>
      <c r="K160" t="s">
        <v>16</v>
      </c>
      <c r="L160">
        <f>Table1[[#This Row],[Price]]*Table1[[#This Row],[Quantity]]</f>
        <v>2000.1</v>
      </c>
      <c r="M160">
        <f t="shared" si="2"/>
        <v>1.3865</v>
      </c>
    </row>
    <row r="161" spans="1:13">
      <c r="A161" s="11">
        <v>10619</v>
      </c>
      <c r="B161" s="12">
        <v>44905</v>
      </c>
      <c r="C161" t="s">
        <v>19</v>
      </c>
      <c r="D161" s="11">
        <v>4.99</v>
      </c>
      <c r="E161" s="13">
        <v>201</v>
      </c>
      <c r="F161" s="11">
        <v>2.25</v>
      </c>
      <c r="G161" t="e">
        <v>#VALUE!</v>
      </c>
      <c r="H161" t="e" cm="1">
        <f t="array" ref="H161">_FV(G161,"Country/region",TRUE)</f>
        <v>#NAME?</v>
      </c>
      <c r="I161" t="s">
        <v>14</v>
      </c>
      <c r="J161" t="s">
        <v>15</v>
      </c>
      <c r="K161" t="s">
        <v>16</v>
      </c>
      <c r="L161">
        <f>Table1[[#This Row],[Price]]*Table1[[#This Row],[Quantity]]</f>
        <v>1002.99</v>
      </c>
      <c r="M161">
        <f t="shared" si="2"/>
        <v>11.2275</v>
      </c>
    </row>
    <row r="162" spans="1:13">
      <c r="A162" s="11">
        <v>10620</v>
      </c>
      <c r="B162" s="12">
        <v>44906</v>
      </c>
      <c r="C162" t="s">
        <v>22</v>
      </c>
      <c r="D162" s="11">
        <v>12.99</v>
      </c>
      <c r="E162" s="13">
        <v>586</v>
      </c>
      <c r="F162" s="11">
        <v>4.32</v>
      </c>
      <c r="G162" t="e">
        <v>#VALUE!</v>
      </c>
      <c r="H162" t="e" cm="1">
        <f t="array" ref="H162">_FV(G162,"Country/region",TRUE)</f>
        <v>#NAME?</v>
      </c>
      <c r="I162" t="s">
        <v>14</v>
      </c>
      <c r="J162" t="s">
        <v>15</v>
      </c>
      <c r="K162" t="s">
        <v>16</v>
      </c>
      <c r="L162">
        <f>Table1[[#This Row],[Price]]*Table1[[#This Row],[Quantity]]</f>
        <v>7612.14</v>
      </c>
      <c r="M162">
        <f t="shared" si="2"/>
        <v>56.1168</v>
      </c>
    </row>
    <row r="163" spans="1:13">
      <c r="A163" s="11">
        <v>10621</v>
      </c>
      <c r="B163" s="12">
        <v>44906</v>
      </c>
      <c r="C163" t="s">
        <v>25</v>
      </c>
      <c r="D163" s="11">
        <v>9.95</v>
      </c>
      <c r="E163" s="13">
        <v>202</v>
      </c>
      <c r="F163" s="11">
        <v>2.85</v>
      </c>
      <c r="G163" t="e">
        <v>#VALUE!</v>
      </c>
      <c r="H163" t="e" cm="1">
        <f t="array" ref="H163">_FV(G163,"Country/region",TRUE)</f>
        <v>#NAME?</v>
      </c>
      <c r="I163" t="s">
        <v>14</v>
      </c>
      <c r="J163" t="s">
        <v>15</v>
      </c>
      <c r="K163" t="s">
        <v>16</v>
      </c>
      <c r="L163">
        <f>Table1[[#This Row],[Price]]*Table1[[#This Row],[Quantity]]</f>
        <v>2009.9</v>
      </c>
      <c r="M163">
        <f t="shared" si="2"/>
        <v>28.3575</v>
      </c>
    </row>
    <row r="164" spans="1:13">
      <c r="A164" s="11">
        <v>10622</v>
      </c>
      <c r="B164" s="12">
        <v>44906</v>
      </c>
      <c r="C164" t="s">
        <v>13</v>
      </c>
      <c r="D164" s="11">
        <v>3.49</v>
      </c>
      <c r="E164" s="13">
        <v>631</v>
      </c>
      <c r="F164" s="11">
        <v>0.88</v>
      </c>
      <c r="G164" t="e">
        <v>#VALUE!</v>
      </c>
      <c r="H164" t="e" cm="1">
        <f t="array" ref="H164">_FV(G164,"Country/region",TRUE)</f>
        <v>#NAME?</v>
      </c>
      <c r="I164" t="s">
        <v>14</v>
      </c>
      <c r="J164" t="s">
        <v>15</v>
      </c>
      <c r="K164" t="s">
        <v>16</v>
      </c>
      <c r="L164">
        <f>Table1[[#This Row],[Price]]*Table1[[#This Row],[Quantity]]</f>
        <v>2202.19</v>
      </c>
      <c r="M164">
        <f t="shared" si="2"/>
        <v>3.0712</v>
      </c>
    </row>
    <row r="165" spans="1:13">
      <c r="A165" s="11">
        <v>10623</v>
      </c>
      <c r="B165" s="12">
        <v>44906</v>
      </c>
      <c r="C165" t="s">
        <v>17</v>
      </c>
      <c r="D165" s="11">
        <v>2.95</v>
      </c>
      <c r="E165" s="13">
        <v>746</v>
      </c>
      <c r="F165" s="11">
        <v>0.47</v>
      </c>
      <c r="G165" t="e">
        <v>#VALUE!</v>
      </c>
      <c r="H165" t="e" cm="1">
        <f t="array" ref="H165">_FV(G165,"Country/region",TRUE)</f>
        <v>#NAME?</v>
      </c>
      <c r="I165" t="s">
        <v>14</v>
      </c>
      <c r="J165" t="s">
        <v>15</v>
      </c>
      <c r="K165" t="s">
        <v>16</v>
      </c>
      <c r="L165">
        <f>Table1[[#This Row],[Price]]*Table1[[#This Row],[Quantity]]</f>
        <v>2200.7</v>
      </c>
      <c r="M165">
        <f t="shared" si="2"/>
        <v>1.3865</v>
      </c>
    </row>
    <row r="166" spans="1:13">
      <c r="A166" s="11">
        <v>10624</v>
      </c>
      <c r="B166" s="12">
        <v>44906</v>
      </c>
      <c r="C166" t="s">
        <v>19</v>
      </c>
      <c r="D166" s="11">
        <v>4.99</v>
      </c>
      <c r="E166" s="13">
        <v>201</v>
      </c>
      <c r="F166" s="11">
        <v>2.25</v>
      </c>
      <c r="G166" t="e">
        <v>#VALUE!</v>
      </c>
      <c r="H166" t="e" cm="1">
        <f t="array" ref="H166">_FV(G166,"Country/region",TRUE)</f>
        <v>#NAME?</v>
      </c>
      <c r="I166" t="s">
        <v>14</v>
      </c>
      <c r="J166" t="s">
        <v>15</v>
      </c>
      <c r="K166" t="s">
        <v>16</v>
      </c>
      <c r="L166">
        <f>Table1[[#This Row],[Price]]*Table1[[#This Row],[Quantity]]</f>
        <v>1002.99</v>
      </c>
      <c r="M166">
        <f t="shared" si="2"/>
        <v>11.2275</v>
      </c>
    </row>
    <row r="167" spans="1:13">
      <c r="A167" s="11">
        <v>10625</v>
      </c>
      <c r="B167" s="12">
        <v>44907</v>
      </c>
      <c r="C167" t="s">
        <v>22</v>
      </c>
      <c r="D167" s="11">
        <v>12.99</v>
      </c>
      <c r="E167" s="13">
        <v>570</v>
      </c>
      <c r="F167" s="11">
        <v>4.32</v>
      </c>
      <c r="G167" t="e">
        <v>#VALUE!</v>
      </c>
      <c r="H167" t="e" cm="1">
        <f t="array" ref="H167">_FV(G167,"Country/region",TRUE)</f>
        <v>#NAME?</v>
      </c>
      <c r="I167" t="s">
        <v>14</v>
      </c>
      <c r="J167" t="s">
        <v>15</v>
      </c>
      <c r="K167" t="s">
        <v>16</v>
      </c>
      <c r="L167">
        <f>Table1[[#This Row],[Price]]*Table1[[#This Row],[Quantity]]</f>
        <v>7404.3</v>
      </c>
      <c r="M167">
        <f t="shared" si="2"/>
        <v>56.1168</v>
      </c>
    </row>
    <row r="168" spans="1:13">
      <c r="A168" s="11">
        <v>10626</v>
      </c>
      <c r="B168" s="12">
        <v>44907</v>
      </c>
      <c r="C168" t="s">
        <v>25</v>
      </c>
      <c r="D168" s="11">
        <v>9.95</v>
      </c>
      <c r="E168" s="13">
        <v>202</v>
      </c>
      <c r="F168" s="11">
        <v>2.85</v>
      </c>
      <c r="G168" t="e">
        <v>#VALUE!</v>
      </c>
      <c r="H168" t="e" cm="1">
        <f t="array" ref="H168">_FV(G168,"Country/region",TRUE)</f>
        <v>#NAME?</v>
      </c>
      <c r="I168" t="s">
        <v>14</v>
      </c>
      <c r="J168" t="s">
        <v>15</v>
      </c>
      <c r="K168" t="s">
        <v>16</v>
      </c>
      <c r="L168">
        <f>Table1[[#This Row],[Price]]*Table1[[#This Row],[Quantity]]</f>
        <v>2009.9</v>
      </c>
      <c r="M168">
        <f t="shared" si="2"/>
        <v>28.3575</v>
      </c>
    </row>
    <row r="169" spans="1:13">
      <c r="A169" s="11">
        <v>10627</v>
      </c>
      <c r="B169" s="12">
        <v>44907</v>
      </c>
      <c r="C169" t="s">
        <v>13</v>
      </c>
      <c r="D169" s="11">
        <v>3.49</v>
      </c>
      <c r="E169" s="13">
        <v>631</v>
      </c>
      <c r="F169" s="11">
        <v>0.88</v>
      </c>
      <c r="G169" t="e">
        <v>#VALUE!</v>
      </c>
      <c r="H169" t="e" cm="1">
        <f t="array" ref="H169">_FV(G169,"Country/region",TRUE)</f>
        <v>#NAME?</v>
      </c>
      <c r="I169" t="s">
        <v>14</v>
      </c>
      <c r="J169" t="s">
        <v>15</v>
      </c>
      <c r="K169" t="s">
        <v>16</v>
      </c>
      <c r="L169">
        <f>Table1[[#This Row],[Price]]*Table1[[#This Row],[Quantity]]</f>
        <v>2202.19</v>
      </c>
      <c r="M169">
        <f t="shared" si="2"/>
        <v>3.0712</v>
      </c>
    </row>
    <row r="170" ht="19.7" spans="1:13">
      <c r="A170" s="11">
        <v>10628</v>
      </c>
      <c r="B170" s="12">
        <v>44907</v>
      </c>
      <c r="C170" t="s">
        <v>17</v>
      </c>
      <c r="D170" s="11">
        <v>2.95</v>
      </c>
      <c r="E170" s="13">
        <v>678</v>
      </c>
      <c r="F170" s="11">
        <v>0.47</v>
      </c>
      <c r="G170" s="14" t="e">
        <v>#VALUE!</v>
      </c>
      <c r="H170" t="e" cm="1">
        <f t="array" ref="H170">_FV(G170,"Country/region",TRUE)</f>
        <v>#NAME?</v>
      </c>
      <c r="I170" t="s">
        <v>14</v>
      </c>
      <c r="J170" t="s">
        <v>15</v>
      </c>
      <c r="K170" t="s">
        <v>21</v>
      </c>
      <c r="L170">
        <f>Table1[[#This Row],[Price]]*Table1[[#This Row],[Quantity]]</f>
        <v>2000.1</v>
      </c>
      <c r="M170">
        <f t="shared" si="2"/>
        <v>1.3865</v>
      </c>
    </row>
    <row r="171" ht="19.7" spans="1:13">
      <c r="A171" s="11">
        <v>10629</v>
      </c>
      <c r="B171" s="12">
        <v>44907</v>
      </c>
      <c r="C171" t="s">
        <v>19</v>
      </c>
      <c r="D171" s="11">
        <v>4.99</v>
      </c>
      <c r="E171" s="13">
        <v>201</v>
      </c>
      <c r="F171" s="11">
        <v>2.25</v>
      </c>
      <c r="G171" s="14" t="e">
        <v>#VALUE!</v>
      </c>
      <c r="H171" t="e" cm="1">
        <f t="array" ref="H171">_FV(G171,"Country/region",TRUE)</f>
        <v>#NAME?</v>
      </c>
      <c r="I171" t="s">
        <v>14</v>
      </c>
      <c r="J171" t="s">
        <v>15</v>
      </c>
      <c r="K171" t="s">
        <v>21</v>
      </c>
      <c r="L171">
        <f>Table1[[#This Row],[Price]]*Table1[[#This Row],[Quantity]]</f>
        <v>1002.99</v>
      </c>
      <c r="M171">
        <f t="shared" si="2"/>
        <v>11.2275</v>
      </c>
    </row>
    <row r="172" ht="19.7" spans="1:13">
      <c r="A172" s="11">
        <v>10630</v>
      </c>
      <c r="B172" s="12">
        <v>44908</v>
      </c>
      <c r="C172" t="s">
        <v>22</v>
      </c>
      <c r="D172" s="11">
        <v>12.99</v>
      </c>
      <c r="E172" s="13">
        <v>570</v>
      </c>
      <c r="F172" s="11">
        <v>4.32</v>
      </c>
      <c r="G172" s="14" t="e">
        <v>#VALUE!</v>
      </c>
      <c r="H172" t="e" cm="1">
        <f t="array" ref="H172">_FV(G172,"Country/region",TRUE)</f>
        <v>#NAME?</v>
      </c>
      <c r="I172" t="s">
        <v>14</v>
      </c>
      <c r="J172" t="s">
        <v>28</v>
      </c>
      <c r="K172" t="s">
        <v>21</v>
      </c>
      <c r="L172">
        <f>Table1[[#This Row],[Price]]*Table1[[#This Row],[Quantity]]</f>
        <v>7404.3</v>
      </c>
      <c r="M172">
        <f t="shared" si="2"/>
        <v>56.1168</v>
      </c>
    </row>
    <row r="173" ht="19.7" spans="1:13">
      <c r="A173" s="11">
        <v>10631</v>
      </c>
      <c r="B173" s="12">
        <v>44908</v>
      </c>
      <c r="C173" t="s">
        <v>25</v>
      </c>
      <c r="D173" s="11">
        <v>9.95</v>
      </c>
      <c r="E173" s="13">
        <v>202</v>
      </c>
      <c r="F173" s="11">
        <v>2.85</v>
      </c>
      <c r="G173" s="14" t="e">
        <v>#VALUE!</v>
      </c>
      <c r="H173" t="e" cm="1">
        <f t="array" ref="H173">_FV(G173,"Country/region",TRUE)</f>
        <v>#NAME?</v>
      </c>
      <c r="I173" t="s">
        <v>14</v>
      </c>
      <c r="J173" t="s">
        <v>15</v>
      </c>
      <c r="K173" t="s">
        <v>21</v>
      </c>
      <c r="L173">
        <f>Table1[[#This Row],[Price]]*Table1[[#This Row],[Quantity]]</f>
        <v>2009.9</v>
      </c>
      <c r="M173">
        <f t="shared" si="2"/>
        <v>28.3575</v>
      </c>
    </row>
    <row r="174" ht="19.7" spans="1:13">
      <c r="A174" s="11">
        <v>10632</v>
      </c>
      <c r="B174" s="12">
        <v>44908</v>
      </c>
      <c r="C174" t="s">
        <v>13</v>
      </c>
      <c r="D174" s="11">
        <v>3.49</v>
      </c>
      <c r="E174" s="13">
        <v>631</v>
      </c>
      <c r="F174" s="11">
        <v>0.88</v>
      </c>
      <c r="G174" s="14" t="e">
        <v>#VALUE!</v>
      </c>
      <c r="H174" t="e" cm="1">
        <f t="array" ref="H174">_FV(G174,"Country/region",TRUE)</f>
        <v>#NAME?</v>
      </c>
      <c r="I174" t="s">
        <v>14</v>
      </c>
      <c r="J174" t="s">
        <v>15</v>
      </c>
      <c r="K174" t="s">
        <v>21</v>
      </c>
      <c r="L174">
        <f>Table1[[#This Row],[Price]]*Table1[[#This Row],[Quantity]]</f>
        <v>2202.19</v>
      </c>
      <c r="M174">
        <f t="shared" si="2"/>
        <v>3.0712</v>
      </c>
    </row>
    <row r="175" ht="19.7" spans="1:13">
      <c r="A175" s="11">
        <v>10633</v>
      </c>
      <c r="B175" s="12">
        <v>44908</v>
      </c>
      <c r="C175" t="s">
        <v>17</v>
      </c>
      <c r="D175" s="11">
        <v>2.95</v>
      </c>
      <c r="E175" s="13">
        <v>678</v>
      </c>
      <c r="F175" s="11">
        <v>0.47</v>
      </c>
      <c r="G175" s="14" t="e">
        <v>#VALUE!</v>
      </c>
      <c r="H175" t="e" cm="1">
        <f t="array" ref="H175">_FV(G175,"Country/region",TRUE)</f>
        <v>#NAME?</v>
      </c>
      <c r="I175" t="s">
        <v>14</v>
      </c>
      <c r="J175" t="s">
        <v>15</v>
      </c>
      <c r="K175" t="s">
        <v>21</v>
      </c>
      <c r="L175">
        <f>Table1[[#This Row],[Price]]*Table1[[#This Row],[Quantity]]</f>
        <v>2000.1</v>
      </c>
      <c r="M175">
        <f t="shared" si="2"/>
        <v>1.3865</v>
      </c>
    </row>
    <row r="176" ht="19.7" spans="1:13">
      <c r="A176" s="11">
        <v>10634</v>
      </c>
      <c r="B176" s="12">
        <v>44908</v>
      </c>
      <c r="C176" t="s">
        <v>19</v>
      </c>
      <c r="D176" s="11">
        <v>4.99</v>
      </c>
      <c r="E176" s="13">
        <v>201</v>
      </c>
      <c r="F176" s="11">
        <v>2.25</v>
      </c>
      <c r="G176" s="14" t="e">
        <v>#VALUE!</v>
      </c>
      <c r="H176" t="e" cm="1">
        <f t="array" ref="H176">_FV(G176,"Country/region",TRUE)</f>
        <v>#NAME?</v>
      </c>
      <c r="I176" t="s">
        <v>14</v>
      </c>
      <c r="J176" t="s">
        <v>15</v>
      </c>
      <c r="K176" t="s">
        <v>21</v>
      </c>
      <c r="L176">
        <f>Table1[[#This Row],[Price]]*Table1[[#This Row],[Quantity]]</f>
        <v>1002.99</v>
      </c>
      <c r="M176">
        <f t="shared" si="2"/>
        <v>11.2275</v>
      </c>
    </row>
    <row r="177" ht="19.7" spans="1:13">
      <c r="A177" s="11">
        <v>10635</v>
      </c>
      <c r="B177" s="12">
        <v>44909</v>
      </c>
      <c r="C177" t="s">
        <v>22</v>
      </c>
      <c r="D177" s="11">
        <v>12.99</v>
      </c>
      <c r="E177" s="13">
        <v>555</v>
      </c>
      <c r="F177" s="11">
        <v>4.32</v>
      </c>
      <c r="G177" s="14" t="e">
        <v>#VALUE!</v>
      </c>
      <c r="H177" t="e" cm="1">
        <f t="array" ref="H177">_FV(G177,"Country/region",TRUE)</f>
        <v>#NAME?</v>
      </c>
      <c r="I177" t="s">
        <v>14</v>
      </c>
      <c r="J177" t="s">
        <v>15</v>
      </c>
      <c r="K177" t="s">
        <v>21</v>
      </c>
      <c r="L177">
        <f>Table1[[#This Row],[Price]]*Table1[[#This Row],[Quantity]]</f>
        <v>7209.45</v>
      </c>
      <c r="M177">
        <f t="shared" si="2"/>
        <v>56.1168</v>
      </c>
    </row>
    <row r="178" ht="19.7" spans="1:13">
      <c r="A178" s="11">
        <v>10636</v>
      </c>
      <c r="B178" s="12">
        <v>44909</v>
      </c>
      <c r="C178" t="s">
        <v>25</v>
      </c>
      <c r="D178" s="11">
        <v>9.95</v>
      </c>
      <c r="E178" s="13">
        <v>222</v>
      </c>
      <c r="F178" s="11">
        <v>2.85</v>
      </c>
      <c r="G178" s="14" t="e">
        <v>#VALUE!</v>
      </c>
      <c r="H178" t="e" cm="1">
        <f t="array" ref="H178">_FV(G178,"Country/region",TRUE)</f>
        <v>#NAME?</v>
      </c>
      <c r="I178" t="s">
        <v>14</v>
      </c>
      <c r="J178" t="s">
        <v>15</v>
      </c>
      <c r="K178" t="s">
        <v>21</v>
      </c>
      <c r="L178">
        <f>Table1[[#This Row],[Price]]*Table1[[#This Row],[Quantity]]</f>
        <v>2208.9</v>
      </c>
      <c r="M178">
        <f t="shared" si="2"/>
        <v>28.3575</v>
      </c>
    </row>
    <row r="179" ht="19.7" spans="1:13">
      <c r="A179" s="11">
        <v>10637</v>
      </c>
      <c r="B179" s="12">
        <v>44909</v>
      </c>
      <c r="C179" t="s">
        <v>13</v>
      </c>
      <c r="D179" s="11">
        <v>3.49</v>
      </c>
      <c r="E179" s="13">
        <v>631</v>
      </c>
      <c r="F179" s="11">
        <v>0.88</v>
      </c>
      <c r="G179" s="14" t="e">
        <v>#VALUE!</v>
      </c>
      <c r="H179" t="e" cm="1">
        <f t="array" ref="H179">_FV(G179,"Country/region",TRUE)</f>
        <v>#NAME?</v>
      </c>
      <c r="I179" t="s">
        <v>14</v>
      </c>
      <c r="J179" t="s">
        <v>15</v>
      </c>
      <c r="K179" t="s">
        <v>21</v>
      </c>
      <c r="L179">
        <f>Table1[[#This Row],[Price]]*Table1[[#This Row],[Quantity]]</f>
        <v>2202.19</v>
      </c>
      <c r="M179">
        <f t="shared" si="2"/>
        <v>3.0712</v>
      </c>
    </row>
    <row r="180" ht="19.7" spans="1:13">
      <c r="A180" s="11">
        <v>10638</v>
      </c>
      <c r="B180" s="12">
        <v>44909</v>
      </c>
      <c r="C180" t="s">
        <v>17</v>
      </c>
      <c r="D180" s="11">
        <v>2.95</v>
      </c>
      <c r="E180" s="13">
        <v>678</v>
      </c>
      <c r="F180" s="11">
        <v>0.47</v>
      </c>
      <c r="G180" s="14" t="e">
        <v>#VALUE!</v>
      </c>
      <c r="H180" t="e" cm="1">
        <f t="array" ref="H180">_FV(G180,"Country/region",TRUE)</f>
        <v>#NAME?</v>
      </c>
      <c r="I180" t="s">
        <v>14</v>
      </c>
      <c r="J180" t="s">
        <v>15</v>
      </c>
      <c r="K180" t="s">
        <v>21</v>
      </c>
      <c r="L180">
        <f>Table1[[#This Row],[Price]]*Table1[[#This Row],[Quantity]]</f>
        <v>2000.1</v>
      </c>
      <c r="M180">
        <f t="shared" si="2"/>
        <v>1.3865</v>
      </c>
    </row>
    <row r="181" ht="19.7" spans="1:13">
      <c r="A181" s="11">
        <v>10639</v>
      </c>
      <c r="B181" s="12">
        <v>44909</v>
      </c>
      <c r="C181" t="s">
        <v>19</v>
      </c>
      <c r="D181" s="11">
        <v>4.99</v>
      </c>
      <c r="E181" s="13">
        <v>201</v>
      </c>
      <c r="F181" s="11">
        <v>2.25</v>
      </c>
      <c r="G181" s="14" t="e">
        <v>#VALUE!</v>
      </c>
      <c r="H181" t="e" cm="1">
        <f t="array" ref="H181">_FV(G181,"Country/region",TRUE)</f>
        <v>#NAME?</v>
      </c>
      <c r="I181" t="s">
        <v>14</v>
      </c>
      <c r="J181" t="s">
        <v>15</v>
      </c>
      <c r="K181" t="s">
        <v>21</v>
      </c>
      <c r="L181">
        <f>Table1[[#This Row],[Price]]*Table1[[#This Row],[Quantity]]</f>
        <v>1002.99</v>
      </c>
      <c r="M181">
        <f t="shared" si="2"/>
        <v>11.2275</v>
      </c>
    </row>
    <row r="182" ht="19.7" spans="1:13">
      <c r="A182" s="11">
        <v>10640</v>
      </c>
      <c r="B182" s="12">
        <v>44910</v>
      </c>
      <c r="C182" t="s">
        <v>22</v>
      </c>
      <c r="D182" s="11">
        <v>12.99</v>
      </c>
      <c r="E182" s="13">
        <v>539</v>
      </c>
      <c r="F182" s="11">
        <v>4.32</v>
      </c>
      <c r="G182" s="14" t="e">
        <v>#VALUE!</v>
      </c>
      <c r="H182" t="e" cm="1">
        <f t="array" ref="H182">_FV(G182,"Country/region",TRUE)</f>
        <v>#NAME?</v>
      </c>
      <c r="I182" t="s">
        <v>14</v>
      </c>
      <c r="J182" t="s">
        <v>15</v>
      </c>
      <c r="K182" t="s">
        <v>21</v>
      </c>
      <c r="L182">
        <f>Table1[[#This Row],[Price]]*Table1[[#This Row],[Quantity]]</f>
        <v>7001.61</v>
      </c>
      <c r="M182">
        <f t="shared" si="2"/>
        <v>56.1168</v>
      </c>
    </row>
    <row r="183" ht="19.7" spans="1:13">
      <c r="A183" s="11">
        <v>10641</v>
      </c>
      <c r="B183" s="12">
        <v>44910</v>
      </c>
      <c r="C183" t="s">
        <v>25</v>
      </c>
      <c r="D183" s="11">
        <v>9.95</v>
      </c>
      <c r="E183" s="13">
        <v>222</v>
      </c>
      <c r="F183" s="11">
        <v>2.85</v>
      </c>
      <c r="G183" s="14" t="e">
        <v>#VALUE!</v>
      </c>
      <c r="H183" t="e" cm="1">
        <f t="array" ref="H183">_FV(G183,"Country/region",TRUE)</f>
        <v>#NAME?</v>
      </c>
      <c r="I183" t="s">
        <v>14</v>
      </c>
      <c r="J183" t="s">
        <v>15</v>
      </c>
      <c r="K183" t="s">
        <v>21</v>
      </c>
      <c r="L183">
        <f>Table1[[#This Row],[Price]]*Table1[[#This Row],[Quantity]]</f>
        <v>2208.9</v>
      </c>
      <c r="M183">
        <f t="shared" si="2"/>
        <v>28.3575</v>
      </c>
    </row>
    <row r="184" ht="19.7" spans="1:13">
      <c r="A184" s="11">
        <v>10642</v>
      </c>
      <c r="B184" s="12">
        <v>44910</v>
      </c>
      <c r="C184" t="s">
        <v>13</v>
      </c>
      <c r="D184" s="11">
        <v>3.49</v>
      </c>
      <c r="E184" s="13">
        <v>631</v>
      </c>
      <c r="F184" s="11">
        <v>0.88</v>
      </c>
      <c r="G184" s="14" t="e">
        <v>#VALUE!</v>
      </c>
      <c r="H184" t="e" cm="1">
        <f t="array" ref="H184">_FV(G184,"Country/region",TRUE)</f>
        <v>#NAME?</v>
      </c>
      <c r="I184" t="s">
        <v>14</v>
      </c>
      <c r="J184" t="s">
        <v>28</v>
      </c>
      <c r="K184" t="s">
        <v>21</v>
      </c>
      <c r="L184">
        <f>Table1[[#This Row],[Price]]*Table1[[#This Row],[Quantity]]</f>
        <v>2202.19</v>
      </c>
      <c r="M184">
        <f t="shared" si="2"/>
        <v>3.0712</v>
      </c>
    </row>
    <row r="185" ht="19.7" spans="1:13">
      <c r="A185" s="11">
        <v>10643</v>
      </c>
      <c r="B185" s="12">
        <v>44910</v>
      </c>
      <c r="C185" t="s">
        <v>17</v>
      </c>
      <c r="D185" s="11">
        <v>2.95</v>
      </c>
      <c r="E185" s="13">
        <v>678</v>
      </c>
      <c r="F185" s="11">
        <v>0.47</v>
      </c>
      <c r="G185" s="14" t="e">
        <v>#VALUE!</v>
      </c>
      <c r="H185" t="e" cm="1">
        <f t="array" ref="H185">_FV(G185,"Country/region",TRUE)</f>
        <v>#NAME?</v>
      </c>
      <c r="I185" t="s">
        <v>14</v>
      </c>
      <c r="J185" t="s">
        <v>28</v>
      </c>
      <c r="K185" t="s">
        <v>21</v>
      </c>
      <c r="L185">
        <f>Table1[[#This Row],[Price]]*Table1[[#This Row],[Quantity]]</f>
        <v>2000.1</v>
      </c>
      <c r="M185">
        <f t="shared" si="2"/>
        <v>1.3865</v>
      </c>
    </row>
    <row r="186" ht="19.7" spans="1:13">
      <c r="A186" s="11">
        <v>10644</v>
      </c>
      <c r="B186" s="12">
        <v>44910</v>
      </c>
      <c r="C186" t="s">
        <v>19</v>
      </c>
      <c r="D186" s="11">
        <v>4.99</v>
      </c>
      <c r="E186" s="13">
        <v>201</v>
      </c>
      <c r="F186" s="11">
        <v>2.25</v>
      </c>
      <c r="G186" s="14" t="e">
        <v>#VALUE!</v>
      </c>
      <c r="H186" t="e" cm="1">
        <f t="array" ref="H186">_FV(G186,"Country/region",TRUE)</f>
        <v>#NAME?</v>
      </c>
      <c r="I186" t="s">
        <v>14</v>
      </c>
      <c r="J186" t="s">
        <v>28</v>
      </c>
      <c r="K186" t="s">
        <v>21</v>
      </c>
      <c r="L186">
        <f>Table1[[#This Row],[Price]]*Table1[[#This Row],[Quantity]]</f>
        <v>1002.99</v>
      </c>
      <c r="M186">
        <f t="shared" si="2"/>
        <v>11.2275</v>
      </c>
    </row>
    <row r="187" ht="19.7" spans="1:13">
      <c r="A187" s="11">
        <v>10645</v>
      </c>
      <c r="B187" s="12">
        <v>44911</v>
      </c>
      <c r="C187" t="s">
        <v>22</v>
      </c>
      <c r="D187" s="11">
        <v>12.99</v>
      </c>
      <c r="E187" s="13">
        <v>570</v>
      </c>
      <c r="F187" s="11">
        <v>4.32</v>
      </c>
      <c r="G187" s="14" t="e">
        <v>#VALUE!</v>
      </c>
      <c r="H187" t="e" cm="1">
        <f t="array" ref="H187">_FV(G187,"Country/region",TRUE)</f>
        <v>#NAME?</v>
      </c>
      <c r="I187" t="s">
        <v>14</v>
      </c>
      <c r="J187" t="s">
        <v>28</v>
      </c>
      <c r="K187" t="s">
        <v>21</v>
      </c>
      <c r="L187">
        <f>Table1[[#This Row],[Price]]*Table1[[#This Row],[Quantity]]</f>
        <v>7404.3</v>
      </c>
      <c r="M187">
        <f t="shared" si="2"/>
        <v>56.1168</v>
      </c>
    </row>
    <row r="188" ht="19.7" spans="1:13">
      <c r="A188" s="11">
        <v>10646</v>
      </c>
      <c r="B188" s="12">
        <v>44911</v>
      </c>
      <c r="C188" t="s">
        <v>25</v>
      </c>
      <c r="D188" s="11">
        <v>9.95</v>
      </c>
      <c r="E188" s="13">
        <v>222</v>
      </c>
      <c r="F188" s="11">
        <v>2.85</v>
      </c>
      <c r="G188" s="14" t="e">
        <v>#VALUE!</v>
      </c>
      <c r="H188" t="e" cm="1">
        <f t="array" ref="H188">_FV(G188,"Country/region",TRUE)</f>
        <v>#NAME?</v>
      </c>
      <c r="I188" t="s">
        <v>14</v>
      </c>
      <c r="J188" t="s">
        <v>28</v>
      </c>
      <c r="K188" t="s">
        <v>21</v>
      </c>
      <c r="L188">
        <f>Table1[[#This Row],[Price]]*Table1[[#This Row],[Quantity]]</f>
        <v>2208.9</v>
      </c>
      <c r="M188">
        <f t="shared" si="2"/>
        <v>28.3575</v>
      </c>
    </row>
    <row r="189" ht="19.7" spans="1:13">
      <c r="A189" s="11">
        <v>10647</v>
      </c>
      <c r="B189" s="12">
        <v>44911</v>
      </c>
      <c r="C189" t="s">
        <v>13</v>
      </c>
      <c r="D189" s="11">
        <v>3.49</v>
      </c>
      <c r="E189" s="13">
        <v>631</v>
      </c>
      <c r="F189" s="11">
        <v>0.88</v>
      </c>
      <c r="G189" s="14" t="e">
        <v>#VALUE!</v>
      </c>
      <c r="H189" t="e" cm="1">
        <f t="array" ref="H189">_FV(G189,"Country/region",TRUE)</f>
        <v>#NAME?</v>
      </c>
      <c r="I189" t="s">
        <v>14</v>
      </c>
      <c r="J189" t="s">
        <v>15</v>
      </c>
      <c r="K189" t="s">
        <v>21</v>
      </c>
      <c r="L189">
        <f>Table1[[#This Row],[Price]]*Table1[[#This Row],[Quantity]]</f>
        <v>2202.19</v>
      </c>
      <c r="M189">
        <f t="shared" si="2"/>
        <v>3.0712</v>
      </c>
    </row>
    <row r="190" ht="19.7" spans="1:13">
      <c r="A190" s="11">
        <v>10648</v>
      </c>
      <c r="B190" s="12">
        <v>44911</v>
      </c>
      <c r="C190" t="s">
        <v>17</v>
      </c>
      <c r="D190" s="11">
        <v>2.95</v>
      </c>
      <c r="E190" s="13">
        <v>746</v>
      </c>
      <c r="F190" s="11">
        <v>0.47</v>
      </c>
      <c r="G190" s="14" t="e">
        <v>#VALUE!</v>
      </c>
      <c r="H190" t="e" cm="1">
        <f t="array" ref="H190">_FV(G190,"Country/region",TRUE)</f>
        <v>#NAME?</v>
      </c>
      <c r="I190" t="s">
        <v>14</v>
      </c>
      <c r="J190" t="s">
        <v>15</v>
      </c>
      <c r="K190" t="s">
        <v>21</v>
      </c>
      <c r="L190">
        <f>Table1[[#This Row],[Price]]*Table1[[#This Row],[Quantity]]</f>
        <v>2200.7</v>
      </c>
      <c r="M190">
        <f t="shared" si="2"/>
        <v>1.3865</v>
      </c>
    </row>
    <row r="191" ht="19.7" spans="1:13">
      <c r="A191" s="11">
        <v>10649</v>
      </c>
      <c r="B191" s="12">
        <v>44911</v>
      </c>
      <c r="C191" t="s">
        <v>19</v>
      </c>
      <c r="D191" s="11">
        <v>4.99</v>
      </c>
      <c r="E191" s="13">
        <v>201</v>
      </c>
      <c r="F191" s="11">
        <v>2.25</v>
      </c>
      <c r="G191" s="14" t="e">
        <v>#VALUE!</v>
      </c>
      <c r="H191" t="e" cm="1">
        <f t="array" ref="H191">_FV(G191,"Country/region",TRUE)</f>
        <v>#NAME?</v>
      </c>
      <c r="I191" t="s">
        <v>14</v>
      </c>
      <c r="J191" t="s">
        <v>15</v>
      </c>
      <c r="K191" t="s">
        <v>21</v>
      </c>
      <c r="L191">
        <f>Table1[[#This Row],[Price]]*Table1[[#This Row],[Quantity]]</f>
        <v>1002.99</v>
      </c>
      <c r="M191">
        <f t="shared" si="2"/>
        <v>11.2275</v>
      </c>
    </row>
    <row r="192" ht="19.7" spans="1:13">
      <c r="A192" s="11">
        <v>10650</v>
      </c>
      <c r="B192" s="12">
        <v>44912</v>
      </c>
      <c r="C192" t="s">
        <v>22</v>
      </c>
      <c r="D192" s="11">
        <v>12.99</v>
      </c>
      <c r="E192" s="13">
        <v>586</v>
      </c>
      <c r="F192" s="11">
        <v>4.32</v>
      </c>
      <c r="G192" s="14" t="e">
        <v>#VALUE!</v>
      </c>
      <c r="H192" t="e" cm="1">
        <f t="array" ref="H192">_FV(G192,"Country/region",TRUE)</f>
        <v>#NAME?</v>
      </c>
      <c r="I192" t="s">
        <v>14</v>
      </c>
      <c r="J192" t="s">
        <v>15</v>
      </c>
      <c r="K192" t="s">
        <v>21</v>
      </c>
      <c r="L192">
        <f>Table1[[#This Row],[Price]]*Table1[[#This Row],[Quantity]]</f>
        <v>7612.14</v>
      </c>
      <c r="M192">
        <f t="shared" si="2"/>
        <v>56.1168</v>
      </c>
    </row>
    <row r="193" ht="19.7" spans="1:13">
      <c r="A193" s="11">
        <v>10651</v>
      </c>
      <c r="B193" s="12">
        <v>44912</v>
      </c>
      <c r="C193" t="s">
        <v>25</v>
      </c>
      <c r="D193" s="11">
        <v>9.95</v>
      </c>
      <c r="E193" s="13">
        <v>222</v>
      </c>
      <c r="F193" s="11">
        <v>2.85</v>
      </c>
      <c r="G193" s="14" t="e">
        <v>#VALUE!</v>
      </c>
      <c r="H193" t="e" cm="1">
        <f t="array" ref="H193">_FV(G193,"Country/region",TRUE)</f>
        <v>#NAME?</v>
      </c>
      <c r="I193" t="s">
        <v>14</v>
      </c>
      <c r="J193" t="s">
        <v>15</v>
      </c>
      <c r="K193" t="s">
        <v>21</v>
      </c>
      <c r="L193">
        <f>Table1[[#This Row],[Price]]*Table1[[#This Row],[Quantity]]</f>
        <v>2208.9</v>
      </c>
      <c r="M193">
        <f t="shared" si="2"/>
        <v>28.3575</v>
      </c>
    </row>
    <row r="194" ht="19.7" spans="1:13">
      <c r="A194" s="11">
        <v>10652</v>
      </c>
      <c r="B194" s="12">
        <v>44912</v>
      </c>
      <c r="C194" t="s">
        <v>13</v>
      </c>
      <c r="D194" s="11">
        <v>3.49</v>
      </c>
      <c r="E194" s="13">
        <v>688</v>
      </c>
      <c r="F194" s="11">
        <v>0.88</v>
      </c>
      <c r="G194" s="14" t="e">
        <v>#VALUE!</v>
      </c>
      <c r="H194" t="e" cm="1">
        <f t="array" ref="H194">_FV(G194,"Country/region",TRUE)</f>
        <v>#NAME?</v>
      </c>
      <c r="I194" t="s">
        <v>14</v>
      </c>
      <c r="J194" t="s">
        <v>15</v>
      </c>
      <c r="K194" t="s">
        <v>21</v>
      </c>
      <c r="L194">
        <f>Table1[[#This Row],[Price]]*Table1[[#This Row],[Quantity]]</f>
        <v>2401.12</v>
      </c>
      <c r="M194">
        <f t="shared" ref="M194:M255" si="3">D194*F194</f>
        <v>3.0712</v>
      </c>
    </row>
    <row r="195" ht="19.7" spans="1:13">
      <c r="A195" s="11">
        <v>10653</v>
      </c>
      <c r="B195" s="12">
        <v>44912</v>
      </c>
      <c r="C195" t="s">
        <v>17</v>
      </c>
      <c r="D195" s="11">
        <v>2.95</v>
      </c>
      <c r="E195" s="13">
        <v>746</v>
      </c>
      <c r="F195" s="11">
        <v>0.47</v>
      </c>
      <c r="G195" s="14" t="e">
        <v>#VALUE!</v>
      </c>
      <c r="H195" t="e" cm="1">
        <f t="array" ref="H195">_FV(G195,"Country/region",TRUE)</f>
        <v>#NAME?</v>
      </c>
      <c r="I195" t="s">
        <v>14</v>
      </c>
      <c r="J195" t="s">
        <v>15</v>
      </c>
      <c r="K195" t="s">
        <v>21</v>
      </c>
      <c r="L195">
        <f>Table1[[#This Row],[Price]]*Table1[[#This Row],[Quantity]]</f>
        <v>2200.7</v>
      </c>
      <c r="M195">
        <f t="shared" si="3"/>
        <v>1.3865</v>
      </c>
    </row>
    <row r="196" ht="19.7" spans="1:13">
      <c r="A196" s="11">
        <v>10654</v>
      </c>
      <c r="B196" s="12">
        <v>44912</v>
      </c>
      <c r="C196" t="s">
        <v>19</v>
      </c>
      <c r="D196" s="11">
        <v>4.99</v>
      </c>
      <c r="E196" s="13">
        <v>201</v>
      </c>
      <c r="F196" s="11">
        <v>2.25</v>
      </c>
      <c r="G196" s="14" t="e">
        <v>#VALUE!</v>
      </c>
      <c r="H196" t="e" cm="1">
        <f t="array" ref="H196">_FV(G196,"Country/region",TRUE)</f>
        <v>#NAME?</v>
      </c>
      <c r="I196" t="s">
        <v>14</v>
      </c>
      <c r="J196" t="s">
        <v>15</v>
      </c>
      <c r="K196" t="s">
        <v>21</v>
      </c>
      <c r="L196">
        <f>Table1[[#This Row],[Price]]*Table1[[#This Row],[Quantity]]</f>
        <v>1002.99</v>
      </c>
      <c r="M196">
        <f t="shared" si="3"/>
        <v>11.2275</v>
      </c>
    </row>
    <row r="197" ht="19.7" spans="1:13">
      <c r="A197" s="11">
        <v>10655</v>
      </c>
      <c r="B197" s="12">
        <v>44913</v>
      </c>
      <c r="C197" t="s">
        <v>22</v>
      </c>
      <c r="D197" s="11">
        <v>12.99</v>
      </c>
      <c r="E197" s="13">
        <v>601</v>
      </c>
      <c r="F197" s="11">
        <v>4.32</v>
      </c>
      <c r="G197" s="14" t="e">
        <v>#VALUE!</v>
      </c>
      <c r="H197" t="e" cm="1">
        <f t="array" ref="H197">_FV(G197,"Country/region",TRUE)</f>
        <v>#NAME?</v>
      </c>
      <c r="I197" t="s">
        <v>14</v>
      </c>
      <c r="J197" t="s">
        <v>15</v>
      </c>
      <c r="K197" t="s">
        <v>21</v>
      </c>
      <c r="L197">
        <f>Table1[[#This Row],[Price]]*Table1[[#This Row],[Quantity]]</f>
        <v>7806.99</v>
      </c>
      <c r="M197">
        <f t="shared" si="3"/>
        <v>56.1168</v>
      </c>
    </row>
    <row r="198" ht="19.7" spans="1:13">
      <c r="A198" s="11">
        <v>10656</v>
      </c>
      <c r="B198" s="12">
        <v>44913</v>
      </c>
      <c r="C198" t="s">
        <v>25</v>
      </c>
      <c r="D198" s="11">
        <v>9.95</v>
      </c>
      <c r="E198" s="13">
        <v>222</v>
      </c>
      <c r="F198" s="11">
        <v>2.85</v>
      </c>
      <c r="G198" s="14" t="e">
        <v>#VALUE!</v>
      </c>
      <c r="H198" t="e" cm="1">
        <f t="array" ref="H198">_FV(G198,"Country/region",TRUE)</f>
        <v>#NAME?</v>
      </c>
      <c r="I198" t="s">
        <v>14</v>
      </c>
      <c r="J198" t="s">
        <v>15</v>
      </c>
      <c r="K198" t="s">
        <v>21</v>
      </c>
      <c r="L198">
        <f>Table1[[#This Row],[Price]]*Table1[[#This Row],[Quantity]]</f>
        <v>2208.9</v>
      </c>
      <c r="M198">
        <f t="shared" si="3"/>
        <v>28.3575</v>
      </c>
    </row>
    <row r="199" ht="19.7" spans="1:13">
      <c r="A199" s="11">
        <v>10657</v>
      </c>
      <c r="B199" s="12">
        <v>44913</v>
      </c>
      <c r="C199" t="s">
        <v>13</v>
      </c>
      <c r="D199" s="11">
        <v>3.49</v>
      </c>
      <c r="E199" s="13">
        <v>688</v>
      </c>
      <c r="F199" s="11">
        <v>0.88</v>
      </c>
      <c r="G199" s="14" t="e">
        <v>#VALUE!</v>
      </c>
      <c r="H199" t="e" cm="1">
        <f t="array" ref="H199">_FV(G199,"Country/region",TRUE)</f>
        <v>#NAME?</v>
      </c>
      <c r="I199" t="s">
        <v>14</v>
      </c>
      <c r="J199" t="s">
        <v>15</v>
      </c>
      <c r="K199" t="s">
        <v>21</v>
      </c>
      <c r="L199">
        <f>Table1[[#This Row],[Price]]*Table1[[#This Row],[Quantity]]</f>
        <v>2401.12</v>
      </c>
      <c r="M199">
        <f t="shared" si="3"/>
        <v>3.0712</v>
      </c>
    </row>
    <row r="200" ht="19.7" spans="1:13">
      <c r="A200" s="11">
        <v>10658</v>
      </c>
      <c r="B200" s="12">
        <v>44913</v>
      </c>
      <c r="C200" t="s">
        <v>17</v>
      </c>
      <c r="D200" s="11">
        <v>2.95</v>
      </c>
      <c r="E200" s="13">
        <v>746</v>
      </c>
      <c r="F200" s="11">
        <v>0.47</v>
      </c>
      <c r="G200" s="14" t="e">
        <v>#VALUE!</v>
      </c>
      <c r="H200" t="e" cm="1">
        <f t="array" ref="H200">_FV(G200,"Country/region",TRUE)</f>
        <v>#NAME?</v>
      </c>
      <c r="I200" t="s">
        <v>14</v>
      </c>
      <c r="J200" t="s">
        <v>28</v>
      </c>
      <c r="K200" t="s">
        <v>21</v>
      </c>
      <c r="L200">
        <f>Table1[[#This Row],[Price]]*Table1[[#This Row],[Quantity]]</f>
        <v>2200.7</v>
      </c>
      <c r="M200">
        <f t="shared" si="3"/>
        <v>1.3865</v>
      </c>
    </row>
    <row r="201" ht="19.7" spans="1:13">
      <c r="A201" s="11">
        <v>10659</v>
      </c>
      <c r="B201" s="12">
        <v>44913</v>
      </c>
      <c r="C201" t="s">
        <v>19</v>
      </c>
      <c r="D201" s="11">
        <v>4.99</v>
      </c>
      <c r="E201" s="13">
        <v>201</v>
      </c>
      <c r="F201" s="11">
        <v>2.25</v>
      </c>
      <c r="G201" s="14" t="e">
        <v>#VALUE!</v>
      </c>
      <c r="H201" t="e" cm="1">
        <f t="array" ref="H201">_FV(G201,"Country/region",TRUE)</f>
        <v>#NAME?</v>
      </c>
      <c r="I201" t="s">
        <v>14</v>
      </c>
      <c r="J201" t="s">
        <v>28</v>
      </c>
      <c r="K201" t="s">
        <v>21</v>
      </c>
      <c r="L201">
        <f>Table1[[#This Row],[Price]]*Table1[[#This Row],[Quantity]]</f>
        <v>1002.99</v>
      </c>
      <c r="M201">
        <f t="shared" si="3"/>
        <v>11.2275</v>
      </c>
    </row>
    <row r="202" ht="19.7" spans="1:13">
      <c r="A202" s="11">
        <v>10660</v>
      </c>
      <c r="B202" s="12">
        <v>44914</v>
      </c>
      <c r="C202" t="s">
        <v>22</v>
      </c>
      <c r="D202" s="11">
        <v>12.99</v>
      </c>
      <c r="E202" s="13">
        <v>632</v>
      </c>
      <c r="F202" s="11">
        <v>4.32</v>
      </c>
      <c r="G202" s="14" t="e">
        <v>#VALUE!</v>
      </c>
      <c r="H202" t="e" cm="1">
        <f t="array" ref="H202">_FV(G202,"Country/region",TRUE)</f>
        <v>#NAME?</v>
      </c>
      <c r="I202" t="s">
        <v>20</v>
      </c>
      <c r="J202" t="s">
        <v>28</v>
      </c>
      <c r="K202" t="s">
        <v>21</v>
      </c>
      <c r="L202">
        <f>Table1[[#This Row],[Price]]*Table1[[#This Row],[Quantity]]</f>
        <v>8209.68</v>
      </c>
      <c r="M202">
        <f t="shared" si="3"/>
        <v>56.1168</v>
      </c>
    </row>
    <row r="203" ht="19.7" spans="1:13">
      <c r="A203" s="11">
        <v>10661</v>
      </c>
      <c r="B203" s="12">
        <v>44914</v>
      </c>
      <c r="C203" t="s">
        <v>25</v>
      </c>
      <c r="D203" s="11">
        <v>9.95</v>
      </c>
      <c r="E203" s="13">
        <v>222</v>
      </c>
      <c r="F203" s="11">
        <v>2.85</v>
      </c>
      <c r="G203" s="14" t="e">
        <v>#VALUE!</v>
      </c>
      <c r="H203" t="e" cm="1">
        <f t="array" ref="H203">_FV(G203,"Country/region",TRUE)</f>
        <v>#NAME?</v>
      </c>
      <c r="I203" t="s">
        <v>20</v>
      </c>
      <c r="J203" t="s">
        <v>28</v>
      </c>
      <c r="K203" t="s">
        <v>21</v>
      </c>
      <c r="L203">
        <f>Table1[[#This Row],[Price]]*Table1[[#This Row],[Quantity]]</f>
        <v>2208.9</v>
      </c>
      <c r="M203">
        <f t="shared" si="3"/>
        <v>28.3575</v>
      </c>
    </row>
    <row r="204" ht="19.7" spans="1:13">
      <c r="A204" s="11">
        <v>10662</v>
      </c>
      <c r="B204" s="12">
        <v>44914</v>
      </c>
      <c r="C204" t="s">
        <v>13</v>
      </c>
      <c r="D204" s="11">
        <v>3.49</v>
      </c>
      <c r="E204" s="13">
        <v>631</v>
      </c>
      <c r="F204" s="11">
        <v>0.88</v>
      </c>
      <c r="G204" s="14" t="e">
        <v>#VALUE!</v>
      </c>
      <c r="H204" t="e" cm="1">
        <f t="array" ref="H204">_FV(G204,"Country/region",TRUE)</f>
        <v>#NAME?</v>
      </c>
      <c r="I204" t="s">
        <v>20</v>
      </c>
      <c r="J204" t="s">
        <v>28</v>
      </c>
      <c r="K204" t="s">
        <v>21</v>
      </c>
      <c r="L204">
        <f>Table1[[#This Row],[Price]]*Table1[[#This Row],[Quantity]]</f>
        <v>2202.19</v>
      </c>
      <c r="M204">
        <f t="shared" si="3"/>
        <v>3.0712</v>
      </c>
    </row>
    <row r="205" ht="19.7" spans="1:13">
      <c r="A205" s="11">
        <v>10663</v>
      </c>
      <c r="B205" s="12">
        <v>44914</v>
      </c>
      <c r="C205" t="s">
        <v>17</v>
      </c>
      <c r="D205" s="11">
        <v>2.95</v>
      </c>
      <c r="E205" s="13">
        <v>746</v>
      </c>
      <c r="F205" s="11">
        <v>0.47</v>
      </c>
      <c r="G205" s="14" t="e">
        <v>#VALUE!</v>
      </c>
      <c r="H205" t="e" cm="1">
        <f t="array" ref="H205">_FV(G205,"Country/region",TRUE)</f>
        <v>#NAME?</v>
      </c>
      <c r="I205" t="s">
        <v>20</v>
      </c>
      <c r="J205" t="s">
        <v>28</v>
      </c>
      <c r="K205" t="s">
        <v>21</v>
      </c>
      <c r="L205">
        <f>Table1[[#This Row],[Price]]*Table1[[#This Row],[Quantity]]</f>
        <v>2200.7</v>
      </c>
      <c r="M205">
        <f t="shared" si="3"/>
        <v>1.3865</v>
      </c>
    </row>
    <row r="206" ht="19.7" spans="1:13">
      <c r="A206" s="11">
        <v>10664</v>
      </c>
      <c r="B206" s="12">
        <v>44914</v>
      </c>
      <c r="C206" t="s">
        <v>19</v>
      </c>
      <c r="D206" s="11">
        <v>4.99</v>
      </c>
      <c r="E206" s="13">
        <v>201</v>
      </c>
      <c r="F206" s="11">
        <v>2.25</v>
      </c>
      <c r="G206" s="14" t="e">
        <v>#VALUE!</v>
      </c>
      <c r="H206" t="e" cm="1">
        <f t="array" ref="H206">_FV(G206,"Country/region",TRUE)</f>
        <v>#NAME?</v>
      </c>
      <c r="I206" t="s">
        <v>20</v>
      </c>
      <c r="J206" t="s">
        <v>28</v>
      </c>
      <c r="K206" t="s">
        <v>21</v>
      </c>
      <c r="L206">
        <f>Table1[[#This Row],[Price]]*Table1[[#This Row],[Quantity]]</f>
        <v>1002.99</v>
      </c>
      <c r="M206">
        <f t="shared" si="3"/>
        <v>11.2275</v>
      </c>
    </row>
    <row r="207" ht="19.7" spans="1:13">
      <c r="A207" s="11">
        <v>10665</v>
      </c>
      <c r="B207" s="12">
        <v>44915</v>
      </c>
      <c r="C207" t="s">
        <v>22</v>
      </c>
      <c r="D207" s="11">
        <v>12.99</v>
      </c>
      <c r="E207" s="13">
        <v>647</v>
      </c>
      <c r="F207" s="11">
        <v>4.32</v>
      </c>
      <c r="G207" s="14" t="e">
        <v>#VALUE!</v>
      </c>
      <c r="H207" t="e" cm="1">
        <f t="array" ref="H207">_FV(G207,"Country/region",TRUE)</f>
        <v>#NAME?</v>
      </c>
      <c r="I207" t="s">
        <v>20</v>
      </c>
      <c r="J207" t="s">
        <v>28</v>
      </c>
      <c r="K207" t="s">
        <v>21</v>
      </c>
      <c r="L207">
        <f>Table1[[#This Row],[Price]]*Table1[[#This Row],[Quantity]]</f>
        <v>8404.53</v>
      </c>
      <c r="M207">
        <f t="shared" si="3"/>
        <v>56.1168</v>
      </c>
    </row>
    <row r="208" ht="19.7" spans="1:13">
      <c r="A208" s="11">
        <v>10666</v>
      </c>
      <c r="B208" s="12">
        <v>44915</v>
      </c>
      <c r="C208" t="s">
        <v>25</v>
      </c>
      <c r="D208" s="11">
        <v>9.95</v>
      </c>
      <c r="E208" s="13">
        <v>222</v>
      </c>
      <c r="F208" s="11">
        <v>2.85</v>
      </c>
      <c r="G208" s="14" t="e">
        <v>#VALUE!</v>
      </c>
      <c r="H208" t="e" cm="1">
        <f t="array" ref="H208">_FV(G208,"Country/region",TRUE)</f>
        <v>#NAME?</v>
      </c>
      <c r="I208" t="s">
        <v>20</v>
      </c>
      <c r="J208" t="s">
        <v>28</v>
      </c>
      <c r="K208" t="s">
        <v>21</v>
      </c>
      <c r="L208">
        <f>Table1[[#This Row],[Price]]*Table1[[#This Row],[Quantity]]</f>
        <v>2208.9</v>
      </c>
      <c r="M208">
        <f t="shared" si="3"/>
        <v>28.3575</v>
      </c>
    </row>
    <row r="209" ht="19.7" spans="1:13">
      <c r="A209" s="11">
        <v>10667</v>
      </c>
      <c r="B209" s="12">
        <v>44915</v>
      </c>
      <c r="C209" t="s">
        <v>13</v>
      </c>
      <c r="D209" s="11">
        <v>3.49</v>
      </c>
      <c r="E209" s="13">
        <v>631</v>
      </c>
      <c r="F209" s="11">
        <v>0.88</v>
      </c>
      <c r="G209" s="14" t="e">
        <v>#VALUE!</v>
      </c>
      <c r="H209" t="e" cm="1">
        <f t="array" ref="H209">_FV(G209,"Country/region",TRUE)</f>
        <v>#NAME?</v>
      </c>
      <c r="I209" t="s">
        <v>20</v>
      </c>
      <c r="J209" t="s">
        <v>28</v>
      </c>
      <c r="K209" t="s">
        <v>21</v>
      </c>
      <c r="L209">
        <f>Table1[[#This Row],[Price]]*Table1[[#This Row],[Quantity]]</f>
        <v>2202.19</v>
      </c>
      <c r="M209">
        <f t="shared" si="3"/>
        <v>3.0712</v>
      </c>
    </row>
    <row r="210" ht="19.7" spans="1:13">
      <c r="A210" s="11">
        <v>10668</v>
      </c>
      <c r="B210" s="12">
        <v>44915</v>
      </c>
      <c r="C210" t="s">
        <v>17</v>
      </c>
      <c r="D210" s="11">
        <v>2.95</v>
      </c>
      <c r="E210" s="13">
        <v>746</v>
      </c>
      <c r="F210" s="11">
        <v>0.47</v>
      </c>
      <c r="G210" s="14" t="e">
        <v>#VALUE!</v>
      </c>
      <c r="H210" t="e" cm="1">
        <f t="array" ref="H210">_FV(G210,"Country/region",TRUE)</f>
        <v>#NAME?</v>
      </c>
      <c r="I210" t="s">
        <v>20</v>
      </c>
      <c r="J210" t="s">
        <v>28</v>
      </c>
      <c r="K210" t="s">
        <v>21</v>
      </c>
      <c r="L210">
        <f>Table1[[#This Row],[Price]]*Table1[[#This Row],[Quantity]]</f>
        <v>2200.7</v>
      </c>
      <c r="M210">
        <f t="shared" si="3"/>
        <v>1.3865</v>
      </c>
    </row>
    <row r="211" ht="19.7" spans="1:13">
      <c r="A211" s="11">
        <v>10669</v>
      </c>
      <c r="B211" s="12">
        <v>44915</v>
      </c>
      <c r="C211" t="s">
        <v>19</v>
      </c>
      <c r="D211" s="11">
        <v>4.99</v>
      </c>
      <c r="E211" s="13">
        <v>201</v>
      </c>
      <c r="F211" s="11">
        <v>2.25</v>
      </c>
      <c r="G211" s="14" t="e">
        <v>#VALUE!</v>
      </c>
      <c r="H211" t="e" cm="1">
        <f t="array" ref="H211">_FV(G211,"Country/region",TRUE)</f>
        <v>#NAME?</v>
      </c>
      <c r="I211" t="s">
        <v>20</v>
      </c>
      <c r="J211" t="s">
        <v>28</v>
      </c>
      <c r="K211" t="s">
        <v>21</v>
      </c>
      <c r="L211">
        <f>Table1[[#This Row],[Price]]*Table1[[#This Row],[Quantity]]</f>
        <v>1002.99</v>
      </c>
      <c r="M211">
        <f t="shared" si="3"/>
        <v>11.2275</v>
      </c>
    </row>
    <row r="212" ht="19.7" spans="1:13">
      <c r="A212" s="11">
        <v>10670</v>
      </c>
      <c r="B212" s="12">
        <v>44916</v>
      </c>
      <c r="C212" t="s">
        <v>22</v>
      </c>
      <c r="D212" s="11">
        <v>12.99</v>
      </c>
      <c r="E212" s="13">
        <v>678</v>
      </c>
      <c r="F212" s="11">
        <v>4.32</v>
      </c>
      <c r="G212" s="14" t="e">
        <v>#VALUE!</v>
      </c>
      <c r="H212" t="e" cm="1">
        <f t="array" ref="H212">_FV(G212,"Country/region",TRUE)</f>
        <v>#NAME?</v>
      </c>
      <c r="I212" t="s">
        <v>20</v>
      </c>
      <c r="J212" t="s">
        <v>28</v>
      </c>
      <c r="K212" t="s">
        <v>21</v>
      </c>
      <c r="L212">
        <f>Table1[[#This Row],[Price]]*Table1[[#This Row],[Quantity]]</f>
        <v>8807.22</v>
      </c>
      <c r="M212">
        <f t="shared" si="3"/>
        <v>56.1168</v>
      </c>
    </row>
    <row r="213" ht="19.7" spans="1:13">
      <c r="A213" s="11">
        <v>10671</v>
      </c>
      <c r="B213" s="12">
        <v>44916</v>
      </c>
      <c r="C213" t="s">
        <v>25</v>
      </c>
      <c r="D213" s="11">
        <v>9.95</v>
      </c>
      <c r="E213" s="13">
        <v>222</v>
      </c>
      <c r="F213" s="11">
        <v>2.85</v>
      </c>
      <c r="G213" s="14" t="e">
        <v>#VALUE!</v>
      </c>
      <c r="H213" t="e" cm="1">
        <f t="array" ref="H213">_FV(G213,"Country/region",TRUE)</f>
        <v>#NAME?</v>
      </c>
      <c r="I213" t="s">
        <v>20</v>
      </c>
      <c r="J213" t="s">
        <v>28</v>
      </c>
      <c r="K213" t="s">
        <v>21</v>
      </c>
      <c r="L213">
        <f>Table1[[#This Row],[Price]]*Table1[[#This Row],[Quantity]]</f>
        <v>2208.9</v>
      </c>
      <c r="M213">
        <f t="shared" si="3"/>
        <v>28.3575</v>
      </c>
    </row>
    <row r="214" ht="19.7" spans="1:13">
      <c r="A214" s="11">
        <v>10672</v>
      </c>
      <c r="B214" s="12">
        <v>44916</v>
      </c>
      <c r="C214" t="s">
        <v>13</v>
      </c>
      <c r="D214" s="11">
        <v>3.49</v>
      </c>
      <c r="E214" s="13">
        <v>631</v>
      </c>
      <c r="F214" s="11">
        <v>0.88</v>
      </c>
      <c r="G214" s="14" t="e">
        <v>#VALUE!</v>
      </c>
      <c r="H214" t="e" cm="1">
        <f t="array" ref="H214">_FV(G214,"Country/region",TRUE)</f>
        <v>#NAME?</v>
      </c>
      <c r="I214" t="s">
        <v>20</v>
      </c>
      <c r="J214" t="s">
        <v>28</v>
      </c>
      <c r="K214" t="s">
        <v>21</v>
      </c>
      <c r="L214">
        <f>Table1[[#This Row],[Price]]*Table1[[#This Row],[Quantity]]</f>
        <v>2202.19</v>
      </c>
      <c r="M214">
        <f t="shared" si="3"/>
        <v>3.0712</v>
      </c>
    </row>
    <row r="215" ht="19.7" spans="1:13">
      <c r="A215" s="11">
        <v>10673</v>
      </c>
      <c r="B215" s="12">
        <v>44916</v>
      </c>
      <c r="C215" t="s">
        <v>17</v>
      </c>
      <c r="D215" s="11">
        <v>2.95</v>
      </c>
      <c r="E215" s="13">
        <v>746</v>
      </c>
      <c r="F215" s="11">
        <v>0.47</v>
      </c>
      <c r="G215" s="14" t="e">
        <v>#VALUE!</v>
      </c>
      <c r="H215" t="e" cm="1">
        <f t="array" ref="H215">_FV(G215,"Country/region",TRUE)</f>
        <v>#NAME?</v>
      </c>
      <c r="I215" t="s">
        <v>20</v>
      </c>
      <c r="J215" t="s">
        <v>28</v>
      </c>
      <c r="K215" t="s">
        <v>21</v>
      </c>
      <c r="L215">
        <f>Table1[[#This Row],[Price]]*Table1[[#This Row],[Quantity]]</f>
        <v>2200.7</v>
      </c>
      <c r="M215">
        <f t="shared" si="3"/>
        <v>1.3865</v>
      </c>
    </row>
    <row r="216" ht="19.7" spans="1:13">
      <c r="A216" s="11">
        <v>10674</v>
      </c>
      <c r="B216" s="12">
        <v>44916</v>
      </c>
      <c r="C216" t="s">
        <v>19</v>
      </c>
      <c r="D216" s="11">
        <v>4.99</v>
      </c>
      <c r="E216" s="13">
        <v>201</v>
      </c>
      <c r="F216" s="11">
        <v>2.25</v>
      </c>
      <c r="G216" s="14" t="e">
        <v>#VALUE!</v>
      </c>
      <c r="H216" t="e" cm="1">
        <f t="array" ref="H216">_FV(G216,"Country/region",TRUE)</f>
        <v>#NAME?</v>
      </c>
      <c r="I216" t="s">
        <v>20</v>
      </c>
      <c r="J216" t="s">
        <v>28</v>
      </c>
      <c r="K216" t="s">
        <v>21</v>
      </c>
      <c r="L216">
        <f>Table1[[#This Row],[Price]]*Table1[[#This Row],[Quantity]]</f>
        <v>1002.99</v>
      </c>
      <c r="M216">
        <f t="shared" si="3"/>
        <v>11.2275</v>
      </c>
    </row>
    <row r="217" ht="19.7" spans="1:13">
      <c r="A217" s="11">
        <v>10675</v>
      </c>
      <c r="B217" s="12">
        <v>44917</v>
      </c>
      <c r="C217" t="s">
        <v>22</v>
      </c>
      <c r="D217" s="11">
        <v>12.99</v>
      </c>
      <c r="E217" s="13">
        <v>678</v>
      </c>
      <c r="F217" s="11">
        <v>4.32</v>
      </c>
      <c r="G217" s="14" t="e">
        <v>#VALUE!</v>
      </c>
      <c r="H217" t="e" cm="1">
        <f t="array" ref="H217">_FV(G217,"Country/region",TRUE)</f>
        <v>#NAME?</v>
      </c>
      <c r="I217" t="s">
        <v>20</v>
      </c>
      <c r="J217" t="s">
        <v>28</v>
      </c>
      <c r="K217" t="s">
        <v>21</v>
      </c>
      <c r="L217">
        <f>Table1[[#This Row],[Price]]*Table1[[#This Row],[Quantity]]</f>
        <v>8807.22</v>
      </c>
      <c r="M217">
        <f t="shared" si="3"/>
        <v>56.1168</v>
      </c>
    </row>
    <row r="218" ht="19.7" spans="1:13">
      <c r="A218" s="11">
        <v>10676</v>
      </c>
      <c r="B218" s="12">
        <v>44917</v>
      </c>
      <c r="C218" t="s">
        <v>25</v>
      </c>
      <c r="D218" s="11">
        <v>9.95</v>
      </c>
      <c r="E218" s="13">
        <v>242</v>
      </c>
      <c r="F218" s="11">
        <v>2.85</v>
      </c>
      <c r="G218" s="14" t="e">
        <v>#VALUE!</v>
      </c>
      <c r="H218" t="e" cm="1">
        <f t="array" ref="H218">_FV(G218,"Country/region",TRUE)</f>
        <v>#NAME?</v>
      </c>
      <c r="I218" t="s">
        <v>20</v>
      </c>
      <c r="J218" t="s">
        <v>28</v>
      </c>
      <c r="K218" t="s">
        <v>21</v>
      </c>
      <c r="L218">
        <f>Table1[[#This Row],[Price]]*Table1[[#This Row],[Quantity]]</f>
        <v>2407.9</v>
      </c>
      <c r="M218">
        <f t="shared" si="3"/>
        <v>28.3575</v>
      </c>
    </row>
    <row r="219" ht="19.7" spans="1:13">
      <c r="A219" s="11">
        <v>10677</v>
      </c>
      <c r="B219" s="12">
        <v>44917</v>
      </c>
      <c r="C219" t="s">
        <v>13</v>
      </c>
      <c r="D219" s="11">
        <v>3.49</v>
      </c>
      <c r="E219" s="13">
        <v>631</v>
      </c>
      <c r="F219" s="11">
        <v>0.88</v>
      </c>
      <c r="G219" s="14" t="e">
        <v>#VALUE!</v>
      </c>
      <c r="H219" t="e" cm="1">
        <f t="array" ref="H219">_FV(G219,"Country/region",TRUE)</f>
        <v>#NAME?</v>
      </c>
      <c r="I219" t="s">
        <v>20</v>
      </c>
      <c r="J219" t="s">
        <v>28</v>
      </c>
      <c r="K219" t="s">
        <v>21</v>
      </c>
      <c r="L219">
        <f>Table1[[#This Row],[Price]]*Table1[[#This Row],[Quantity]]</f>
        <v>2202.19</v>
      </c>
      <c r="M219">
        <f t="shared" si="3"/>
        <v>3.0712</v>
      </c>
    </row>
    <row r="220" ht="19.7" spans="1:13">
      <c r="A220" s="11">
        <v>10678</v>
      </c>
      <c r="B220" s="12">
        <v>44917</v>
      </c>
      <c r="C220" t="s">
        <v>17</v>
      </c>
      <c r="D220" s="11">
        <v>2.95</v>
      </c>
      <c r="E220" s="13">
        <v>746</v>
      </c>
      <c r="F220" s="11">
        <v>0.47</v>
      </c>
      <c r="G220" s="14" t="e">
        <v>#VALUE!</v>
      </c>
      <c r="H220" t="e" cm="1">
        <f t="array" ref="H220">_FV(G220,"Country/region",TRUE)</f>
        <v>#NAME?</v>
      </c>
      <c r="I220" t="s">
        <v>20</v>
      </c>
      <c r="J220" t="s">
        <v>28</v>
      </c>
      <c r="K220" t="s">
        <v>21</v>
      </c>
      <c r="L220">
        <f>Table1[[#This Row],[Price]]*Table1[[#This Row],[Quantity]]</f>
        <v>2200.7</v>
      </c>
      <c r="M220">
        <f t="shared" si="3"/>
        <v>1.3865</v>
      </c>
    </row>
    <row r="221" ht="19.7" spans="1:13">
      <c r="A221" s="11">
        <v>10679</v>
      </c>
      <c r="B221" s="12">
        <v>44917</v>
      </c>
      <c r="C221" t="s">
        <v>19</v>
      </c>
      <c r="D221" s="11">
        <v>4.99</v>
      </c>
      <c r="E221" s="13">
        <v>201</v>
      </c>
      <c r="F221" s="11">
        <v>2.25</v>
      </c>
      <c r="G221" s="14" t="e">
        <v>#VALUE!</v>
      </c>
      <c r="H221" t="e" cm="1">
        <f t="array" ref="H221">_FV(G221,"Country/region",TRUE)</f>
        <v>#NAME?</v>
      </c>
      <c r="I221" t="s">
        <v>20</v>
      </c>
      <c r="J221" t="s">
        <v>28</v>
      </c>
      <c r="K221" t="s">
        <v>21</v>
      </c>
      <c r="L221">
        <f>Table1[[#This Row],[Price]]*Table1[[#This Row],[Quantity]]</f>
        <v>1002.99</v>
      </c>
      <c r="M221">
        <f t="shared" si="3"/>
        <v>11.2275</v>
      </c>
    </row>
    <row r="222" ht="19.7" spans="1:13">
      <c r="A222" s="11">
        <v>10680</v>
      </c>
      <c r="B222" s="12">
        <v>44918</v>
      </c>
      <c r="C222" t="s">
        <v>22</v>
      </c>
      <c r="D222" s="11">
        <v>12.99</v>
      </c>
      <c r="E222" s="13">
        <v>647</v>
      </c>
      <c r="F222" s="11">
        <v>4.32</v>
      </c>
      <c r="G222" s="14" t="e">
        <v>#VALUE!</v>
      </c>
      <c r="H222" t="e" cm="1">
        <f t="array" ref="H222">_FV(G222,"Country/region",TRUE)</f>
        <v>#NAME?</v>
      </c>
      <c r="I222" t="s">
        <v>20</v>
      </c>
      <c r="J222" t="s">
        <v>28</v>
      </c>
      <c r="K222" t="s">
        <v>21</v>
      </c>
      <c r="L222">
        <f>Table1[[#This Row],[Price]]*Table1[[#This Row],[Quantity]]</f>
        <v>8404.53</v>
      </c>
      <c r="M222">
        <f t="shared" si="3"/>
        <v>56.1168</v>
      </c>
    </row>
    <row r="223" ht="19.7" spans="1:13">
      <c r="A223" s="11">
        <v>10681</v>
      </c>
      <c r="B223" s="12">
        <v>44918</v>
      </c>
      <c r="C223" t="s">
        <v>25</v>
      </c>
      <c r="D223" s="11">
        <v>9.95</v>
      </c>
      <c r="E223" s="13">
        <v>242</v>
      </c>
      <c r="F223" s="11">
        <v>2.85</v>
      </c>
      <c r="G223" s="14" t="e">
        <v>#VALUE!</v>
      </c>
      <c r="H223" t="e" cm="1">
        <f t="array" ref="H223">_FV(G223,"Country/region",TRUE)</f>
        <v>#NAME?</v>
      </c>
      <c r="I223" t="s">
        <v>20</v>
      </c>
      <c r="J223" t="s">
        <v>28</v>
      </c>
      <c r="K223" t="s">
        <v>21</v>
      </c>
      <c r="L223">
        <f>Table1[[#This Row],[Price]]*Table1[[#This Row],[Quantity]]</f>
        <v>2407.9</v>
      </c>
      <c r="M223">
        <f t="shared" si="3"/>
        <v>28.3575</v>
      </c>
    </row>
    <row r="224" ht="19.7" spans="1:13">
      <c r="A224" s="11">
        <v>10682</v>
      </c>
      <c r="B224" s="12">
        <v>44918</v>
      </c>
      <c r="C224" t="s">
        <v>13</v>
      </c>
      <c r="D224" s="11">
        <v>3.49</v>
      </c>
      <c r="E224" s="13">
        <v>631</v>
      </c>
      <c r="F224" s="11">
        <v>0.88</v>
      </c>
      <c r="G224" s="14" t="e">
        <v>#VALUE!</v>
      </c>
      <c r="H224" t="e" cm="1">
        <f t="array" ref="H224">_FV(G224,"Country/region",TRUE)</f>
        <v>#NAME?</v>
      </c>
      <c r="I224" t="s">
        <v>20</v>
      </c>
      <c r="J224" t="s">
        <v>28</v>
      </c>
      <c r="K224" t="s">
        <v>21</v>
      </c>
      <c r="L224">
        <f>Table1[[#This Row],[Price]]*Table1[[#This Row],[Quantity]]</f>
        <v>2202.19</v>
      </c>
      <c r="M224">
        <f t="shared" si="3"/>
        <v>3.0712</v>
      </c>
    </row>
    <row r="225" ht="19.7" spans="1:13">
      <c r="A225" s="11">
        <v>10683</v>
      </c>
      <c r="B225" s="12">
        <v>44918</v>
      </c>
      <c r="C225" t="s">
        <v>17</v>
      </c>
      <c r="D225" s="11">
        <v>2.95</v>
      </c>
      <c r="E225" s="13">
        <v>678</v>
      </c>
      <c r="F225" s="11">
        <v>0.47</v>
      </c>
      <c r="G225" s="14" t="e">
        <v>#VALUE!</v>
      </c>
      <c r="H225" t="e" cm="1">
        <f t="array" ref="H225">_FV(G225,"Country/region",TRUE)</f>
        <v>#NAME?</v>
      </c>
      <c r="I225" t="s">
        <v>20</v>
      </c>
      <c r="J225" t="s">
        <v>28</v>
      </c>
      <c r="K225" t="s">
        <v>21</v>
      </c>
      <c r="L225">
        <f>Table1[[#This Row],[Price]]*Table1[[#This Row],[Quantity]]</f>
        <v>2000.1</v>
      </c>
      <c r="M225">
        <f t="shared" si="3"/>
        <v>1.3865</v>
      </c>
    </row>
    <row r="226" ht="19.7" spans="1:13">
      <c r="A226" s="11">
        <v>10684</v>
      </c>
      <c r="B226" s="12">
        <v>44918</v>
      </c>
      <c r="C226" t="s">
        <v>19</v>
      </c>
      <c r="D226" s="11">
        <v>4.99</v>
      </c>
      <c r="E226" s="13">
        <v>201</v>
      </c>
      <c r="F226" s="11">
        <v>2.25</v>
      </c>
      <c r="G226" s="14" t="e">
        <v>#VALUE!</v>
      </c>
      <c r="H226" t="e" cm="1">
        <f t="array" ref="H226">_FV(G226,"Country/region",TRUE)</f>
        <v>#NAME?</v>
      </c>
      <c r="I226" t="s">
        <v>20</v>
      </c>
      <c r="J226" t="s">
        <v>28</v>
      </c>
      <c r="K226" t="s">
        <v>21</v>
      </c>
      <c r="L226">
        <f>Table1[[#This Row],[Price]]*Table1[[#This Row],[Quantity]]</f>
        <v>1002.99</v>
      </c>
      <c r="M226">
        <f t="shared" si="3"/>
        <v>11.2275</v>
      </c>
    </row>
    <row r="227" ht="19.7" spans="1:13">
      <c r="A227" s="11">
        <v>10685</v>
      </c>
      <c r="B227" s="12">
        <v>44919</v>
      </c>
      <c r="C227" t="s">
        <v>22</v>
      </c>
      <c r="D227" s="11">
        <v>12.99</v>
      </c>
      <c r="E227" s="13">
        <v>678</v>
      </c>
      <c r="F227" s="11">
        <v>4.32</v>
      </c>
      <c r="G227" s="14" t="e">
        <v>#VALUE!</v>
      </c>
      <c r="H227" t="e" cm="1">
        <f t="array" ref="H227">_FV(G227,"Country/region",TRUE)</f>
        <v>#NAME?</v>
      </c>
      <c r="I227" t="s">
        <v>20</v>
      </c>
      <c r="J227" t="s">
        <v>28</v>
      </c>
      <c r="K227" t="s">
        <v>21</v>
      </c>
      <c r="L227">
        <f>Table1[[#This Row],[Price]]*Table1[[#This Row],[Quantity]]</f>
        <v>8807.22</v>
      </c>
      <c r="M227">
        <f t="shared" si="3"/>
        <v>56.1168</v>
      </c>
    </row>
    <row r="228" ht="19.7" spans="1:13">
      <c r="A228" s="11">
        <v>10686</v>
      </c>
      <c r="B228" s="12">
        <v>44919</v>
      </c>
      <c r="C228" t="s">
        <v>25</v>
      </c>
      <c r="D228" s="11">
        <v>9.95</v>
      </c>
      <c r="E228" s="13">
        <v>242</v>
      </c>
      <c r="F228" s="11">
        <v>2.85</v>
      </c>
      <c r="G228" s="14" t="e">
        <v>#VALUE!</v>
      </c>
      <c r="H228" t="e" cm="1">
        <f t="array" ref="H228">_FV(G228,"Country/region",TRUE)</f>
        <v>#NAME?</v>
      </c>
      <c r="I228" t="s">
        <v>20</v>
      </c>
      <c r="J228" t="s">
        <v>28</v>
      </c>
      <c r="K228" t="s">
        <v>21</v>
      </c>
      <c r="L228">
        <f>Table1[[#This Row],[Price]]*Table1[[#This Row],[Quantity]]</f>
        <v>2407.9</v>
      </c>
      <c r="M228">
        <f t="shared" si="3"/>
        <v>28.3575</v>
      </c>
    </row>
    <row r="229" spans="1:13">
      <c r="A229" s="11">
        <v>10687</v>
      </c>
      <c r="B229" s="12">
        <v>44919</v>
      </c>
      <c r="C229" t="s">
        <v>13</v>
      </c>
      <c r="D229" s="11">
        <v>3.49</v>
      </c>
      <c r="E229" s="13">
        <v>631</v>
      </c>
      <c r="F229" s="11">
        <v>0.88</v>
      </c>
      <c r="G229" t="e">
        <v>#VALUE!</v>
      </c>
      <c r="H229" t="e" cm="1">
        <f t="array" ref="H229">_FV(G229,"Country/region",TRUE)</f>
        <v>#NAME?</v>
      </c>
      <c r="I229" t="s">
        <v>20</v>
      </c>
      <c r="J229" t="s">
        <v>28</v>
      </c>
      <c r="K229" t="s">
        <v>24</v>
      </c>
      <c r="L229">
        <f>Table1[[#This Row],[Price]]*Table1[[#This Row],[Quantity]]</f>
        <v>2202.19</v>
      </c>
      <c r="M229">
        <f t="shared" si="3"/>
        <v>3.0712</v>
      </c>
    </row>
    <row r="230" spans="1:13">
      <c r="A230" s="11">
        <v>10688</v>
      </c>
      <c r="B230" s="12">
        <v>44919</v>
      </c>
      <c r="C230" t="s">
        <v>17</v>
      </c>
      <c r="D230" s="11">
        <v>2.95</v>
      </c>
      <c r="E230" s="13">
        <v>678</v>
      </c>
      <c r="F230" s="11">
        <v>0.47</v>
      </c>
      <c r="G230" t="e">
        <v>#VALUE!</v>
      </c>
      <c r="H230" t="e" cm="1">
        <f t="array" ref="H230">_FV(G230,"Country/region",TRUE)</f>
        <v>#NAME?</v>
      </c>
      <c r="I230" t="s">
        <v>20</v>
      </c>
      <c r="J230" t="s">
        <v>28</v>
      </c>
      <c r="K230" t="s">
        <v>24</v>
      </c>
      <c r="L230">
        <f>Table1[[#This Row],[Price]]*Table1[[#This Row],[Quantity]]</f>
        <v>2000.1</v>
      </c>
      <c r="M230">
        <f t="shared" si="3"/>
        <v>1.3865</v>
      </c>
    </row>
    <row r="231" spans="1:13">
      <c r="A231" s="11">
        <v>10689</v>
      </c>
      <c r="B231" s="12">
        <v>44919</v>
      </c>
      <c r="C231" t="s">
        <v>19</v>
      </c>
      <c r="D231" s="11">
        <v>4.99</v>
      </c>
      <c r="E231" s="13">
        <v>201</v>
      </c>
      <c r="F231" s="11">
        <v>2.25</v>
      </c>
      <c r="G231" t="e">
        <v>#VALUE!</v>
      </c>
      <c r="H231" t="e" cm="1">
        <f t="array" ref="H231">_FV(G231,"Country/region",TRUE)</f>
        <v>#NAME?</v>
      </c>
      <c r="I231" t="s">
        <v>20</v>
      </c>
      <c r="J231" t="s">
        <v>28</v>
      </c>
      <c r="K231" t="s">
        <v>24</v>
      </c>
      <c r="L231">
        <f>Table1[[#This Row],[Price]]*Table1[[#This Row],[Quantity]]</f>
        <v>1002.99</v>
      </c>
      <c r="M231">
        <f t="shared" si="3"/>
        <v>11.2275</v>
      </c>
    </row>
    <row r="232" spans="1:13">
      <c r="A232" s="11">
        <v>10690</v>
      </c>
      <c r="B232" s="12">
        <v>44920</v>
      </c>
      <c r="C232" t="s">
        <v>22</v>
      </c>
      <c r="D232" s="11">
        <v>12.99</v>
      </c>
      <c r="E232" s="13">
        <v>678</v>
      </c>
      <c r="F232" s="11">
        <v>4.32</v>
      </c>
      <c r="G232" t="e">
        <v>#VALUE!</v>
      </c>
      <c r="H232" t="e" cm="1">
        <f t="array" ref="H232">_FV(G232,"Country/region",TRUE)</f>
        <v>#NAME?</v>
      </c>
      <c r="I232" t="s">
        <v>20</v>
      </c>
      <c r="J232" t="s">
        <v>28</v>
      </c>
      <c r="K232" t="s">
        <v>24</v>
      </c>
      <c r="L232">
        <f>Table1[[#This Row],[Price]]*Table1[[#This Row],[Quantity]]</f>
        <v>8807.22</v>
      </c>
      <c r="M232">
        <f t="shared" si="3"/>
        <v>56.1168</v>
      </c>
    </row>
    <row r="233" spans="1:13">
      <c r="A233" s="11">
        <v>10691</v>
      </c>
      <c r="B233" s="12">
        <v>44920</v>
      </c>
      <c r="C233" t="s">
        <v>25</v>
      </c>
      <c r="D233" s="11">
        <v>9.95</v>
      </c>
      <c r="E233" s="13">
        <v>262</v>
      </c>
      <c r="F233" s="11">
        <v>2.85</v>
      </c>
      <c r="G233" t="e">
        <v>#VALUE!</v>
      </c>
      <c r="H233" t="e" cm="1">
        <f t="array" ref="H233">_FV(G233,"Country/region",TRUE)</f>
        <v>#NAME?</v>
      </c>
      <c r="I233" t="s">
        <v>20</v>
      </c>
      <c r="J233" t="s">
        <v>28</v>
      </c>
      <c r="K233" t="s">
        <v>24</v>
      </c>
      <c r="L233">
        <f>Table1[[#This Row],[Price]]*Table1[[#This Row],[Quantity]]</f>
        <v>2606.9</v>
      </c>
      <c r="M233">
        <f t="shared" si="3"/>
        <v>28.3575</v>
      </c>
    </row>
    <row r="234" spans="1:13">
      <c r="A234" s="11">
        <v>10692</v>
      </c>
      <c r="B234" s="12">
        <v>44920</v>
      </c>
      <c r="C234" t="s">
        <v>13</v>
      </c>
      <c r="D234" s="11">
        <v>3.49</v>
      </c>
      <c r="E234" s="13">
        <v>631</v>
      </c>
      <c r="F234" s="11">
        <v>0.88</v>
      </c>
      <c r="G234" t="e">
        <v>#VALUE!</v>
      </c>
      <c r="H234" t="e" cm="1">
        <f t="array" ref="H234">_FV(G234,"Country/region",TRUE)</f>
        <v>#NAME?</v>
      </c>
      <c r="I234" t="s">
        <v>20</v>
      </c>
      <c r="J234" t="s">
        <v>28</v>
      </c>
      <c r="K234" t="s">
        <v>24</v>
      </c>
      <c r="L234">
        <f>Table1[[#This Row],[Price]]*Table1[[#This Row],[Quantity]]</f>
        <v>2202.19</v>
      </c>
      <c r="M234">
        <f t="shared" si="3"/>
        <v>3.0712</v>
      </c>
    </row>
    <row r="235" spans="1:13">
      <c r="A235" s="11">
        <v>10693</v>
      </c>
      <c r="B235" s="12">
        <v>44920</v>
      </c>
      <c r="C235" t="s">
        <v>17</v>
      </c>
      <c r="D235" s="11">
        <v>2.95</v>
      </c>
      <c r="E235" s="13">
        <v>678</v>
      </c>
      <c r="F235" s="11">
        <v>0.47</v>
      </c>
      <c r="G235" t="e">
        <v>#VALUE!</v>
      </c>
      <c r="H235" t="e" cm="1">
        <f t="array" ref="H235">_FV(G235,"Country/region",TRUE)</f>
        <v>#NAME?</v>
      </c>
      <c r="I235" t="s">
        <v>20</v>
      </c>
      <c r="J235" t="s">
        <v>28</v>
      </c>
      <c r="K235" t="s">
        <v>24</v>
      </c>
      <c r="L235">
        <f>Table1[[#This Row],[Price]]*Table1[[#This Row],[Quantity]]</f>
        <v>2000.1</v>
      </c>
      <c r="M235">
        <f t="shared" si="3"/>
        <v>1.3865</v>
      </c>
    </row>
    <row r="236" spans="1:13">
      <c r="A236" s="11">
        <v>10694</v>
      </c>
      <c r="B236" s="12">
        <v>44920</v>
      </c>
      <c r="C236" t="s">
        <v>19</v>
      </c>
      <c r="D236" s="11">
        <v>4.99</v>
      </c>
      <c r="E236" s="13">
        <v>201</v>
      </c>
      <c r="F236" s="11">
        <v>2.25</v>
      </c>
      <c r="G236" t="e">
        <v>#VALUE!</v>
      </c>
      <c r="H236" t="e" cm="1">
        <f t="array" ref="H236">_FV(G236,"Country/region",TRUE)</f>
        <v>#NAME?</v>
      </c>
      <c r="I236" t="s">
        <v>20</v>
      </c>
      <c r="J236" t="s">
        <v>28</v>
      </c>
      <c r="K236" t="s">
        <v>24</v>
      </c>
      <c r="L236">
        <f>Table1[[#This Row],[Price]]*Table1[[#This Row],[Quantity]]</f>
        <v>1002.99</v>
      </c>
      <c r="M236">
        <f t="shared" si="3"/>
        <v>11.2275</v>
      </c>
    </row>
    <row r="237" spans="1:13">
      <c r="A237" s="11">
        <v>10695</v>
      </c>
      <c r="B237" s="12">
        <v>44921</v>
      </c>
      <c r="C237" t="s">
        <v>22</v>
      </c>
      <c r="D237" s="11">
        <v>12.99</v>
      </c>
      <c r="E237" s="13">
        <v>693</v>
      </c>
      <c r="F237" s="11">
        <v>4.32</v>
      </c>
      <c r="G237" t="e">
        <v>#VALUE!</v>
      </c>
      <c r="H237" t="e" cm="1">
        <f t="array" ref="H237">_FV(G237,"Country/region",TRUE)</f>
        <v>#NAME?</v>
      </c>
      <c r="I237" t="s">
        <v>20</v>
      </c>
      <c r="J237" t="s">
        <v>28</v>
      </c>
      <c r="K237" t="s">
        <v>24</v>
      </c>
      <c r="L237">
        <f>Table1[[#This Row],[Price]]*Table1[[#This Row],[Quantity]]</f>
        <v>9002.07</v>
      </c>
      <c r="M237">
        <f t="shared" si="3"/>
        <v>56.1168</v>
      </c>
    </row>
    <row r="238" spans="1:13">
      <c r="A238" s="11">
        <v>10696</v>
      </c>
      <c r="B238" s="12">
        <v>44921</v>
      </c>
      <c r="C238" t="s">
        <v>25</v>
      </c>
      <c r="D238" s="11">
        <v>9.95</v>
      </c>
      <c r="E238" s="13">
        <v>282</v>
      </c>
      <c r="F238" s="11">
        <v>2.85</v>
      </c>
      <c r="G238" t="e">
        <v>#VALUE!</v>
      </c>
      <c r="H238" t="e" cm="1">
        <f t="array" ref="H238">_FV(G238,"Country/region",TRUE)</f>
        <v>#NAME?</v>
      </c>
      <c r="I238" t="s">
        <v>20</v>
      </c>
      <c r="J238" t="s">
        <v>28</v>
      </c>
      <c r="K238" t="s">
        <v>24</v>
      </c>
      <c r="L238">
        <f>Table1[[#This Row],[Price]]*Table1[[#This Row],[Quantity]]</f>
        <v>2805.9</v>
      </c>
      <c r="M238">
        <f t="shared" si="3"/>
        <v>28.3575</v>
      </c>
    </row>
    <row r="239" spans="1:13">
      <c r="A239" s="11">
        <v>10697</v>
      </c>
      <c r="B239" s="12">
        <v>44921</v>
      </c>
      <c r="C239" t="s">
        <v>13</v>
      </c>
      <c r="D239" s="11">
        <v>3.49</v>
      </c>
      <c r="E239" s="13">
        <v>631</v>
      </c>
      <c r="F239" s="11">
        <v>0.88</v>
      </c>
      <c r="G239" t="e">
        <v>#VALUE!</v>
      </c>
      <c r="H239" t="e" cm="1">
        <f t="array" ref="H239">_FV(G239,"Country/region",TRUE)</f>
        <v>#NAME?</v>
      </c>
      <c r="I239" t="s">
        <v>20</v>
      </c>
      <c r="J239" t="s">
        <v>28</v>
      </c>
      <c r="K239" t="s">
        <v>24</v>
      </c>
      <c r="L239">
        <f>Table1[[#This Row],[Price]]*Table1[[#This Row],[Quantity]]</f>
        <v>2202.19</v>
      </c>
      <c r="M239">
        <f t="shared" si="3"/>
        <v>3.0712</v>
      </c>
    </row>
    <row r="240" spans="1:13">
      <c r="A240" s="11">
        <v>10698</v>
      </c>
      <c r="B240" s="12">
        <v>44921</v>
      </c>
      <c r="C240" t="s">
        <v>17</v>
      </c>
      <c r="D240" s="11">
        <v>2.95</v>
      </c>
      <c r="E240" s="13">
        <v>678</v>
      </c>
      <c r="F240" s="11">
        <v>0.47</v>
      </c>
      <c r="G240" t="e">
        <v>#VALUE!</v>
      </c>
      <c r="H240" t="e" cm="1">
        <f t="array" ref="H240">_FV(G240,"Country/region",TRUE)</f>
        <v>#NAME?</v>
      </c>
      <c r="I240" t="s">
        <v>20</v>
      </c>
      <c r="J240" t="s">
        <v>28</v>
      </c>
      <c r="K240" t="s">
        <v>24</v>
      </c>
      <c r="L240">
        <f>Table1[[#This Row],[Price]]*Table1[[#This Row],[Quantity]]</f>
        <v>2000.1</v>
      </c>
      <c r="M240">
        <f t="shared" si="3"/>
        <v>1.3865</v>
      </c>
    </row>
    <row r="241" spans="1:13">
      <c r="A241" s="11">
        <v>10699</v>
      </c>
      <c r="B241" s="12">
        <v>44921</v>
      </c>
      <c r="C241" t="s">
        <v>19</v>
      </c>
      <c r="D241" s="11">
        <v>4.99</v>
      </c>
      <c r="E241" s="13">
        <v>201</v>
      </c>
      <c r="F241" s="11">
        <v>2.25</v>
      </c>
      <c r="G241" t="e">
        <v>#VALUE!</v>
      </c>
      <c r="H241" t="e" cm="1">
        <f t="array" ref="H241">_FV(G241,"Country/region",TRUE)</f>
        <v>#NAME?</v>
      </c>
      <c r="I241" t="s">
        <v>20</v>
      </c>
      <c r="J241" t="s">
        <v>28</v>
      </c>
      <c r="K241" t="s">
        <v>24</v>
      </c>
      <c r="L241">
        <f>Table1[[#This Row],[Price]]*Table1[[#This Row],[Quantity]]</f>
        <v>1002.99</v>
      </c>
      <c r="M241">
        <f t="shared" si="3"/>
        <v>11.2275</v>
      </c>
    </row>
    <row r="242" spans="1:13">
      <c r="A242" s="11">
        <v>10700</v>
      </c>
      <c r="B242" s="12">
        <v>44922</v>
      </c>
      <c r="C242" t="s">
        <v>22</v>
      </c>
      <c r="D242" s="11">
        <v>12.99</v>
      </c>
      <c r="E242" s="13">
        <v>693</v>
      </c>
      <c r="F242" s="11">
        <v>4.32</v>
      </c>
      <c r="G242" t="e">
        <v>#VALUE!</v>
      </c>
      <c r="H242" t="e" cm="1">
        <f t="array" ref="H242">_FV(G242,"Country/region",TRUE)</f>
        <v>#NAME?</v>
      </c>
      <c r="I242" t="s">
        <v>20</v>
      </c>
      <c r="J242" t="s">
        <v>28</v>
      </c>
      <c r="K242" t="s">
        <v>24</v>
      </c>
      <c r="L242">
        <f>Table1[[#This Row],[Price]]*Table1[[#This Row],[Quantity]]</f>
        <v>9002.07</v>
      </c>
      <c r="M242">
        <f t="shared" si="3"/>
        <v>56.1168</v>
      </c>
    </row>
    <row r="243" spans="1:13">
      <c r="A243" s="11">
        <v>10701</v>
      </c>
      <c r="B243" s="12">
        <v>44922</v>
      </c>
      <c r="C243" t="s">
        <v>25</v>
      </c>
      <c r="D243" s="11">
        <v>9.95</v>
      </c>
      <c r="E243" s="13">
        <v>282</v>
      </c>
      <c r="F243" s="11">
        <v>2.85</v>
      </c>
      <c r="G243" t="e">
        <v>#VALUE!</v>
      </c>
      <c r="H243" t="e" cm="1">
        <f t="array" ref="H243">_FV(G243,"Country/region",TRUE)</f>
        <v>#NAME?</v>
      </c>
      <c r="I243" t="s">
        <v>20</v>
      </c>
      <c r="J243" t="s">
        <v>28</v>
      </c>
      <c r="K243" t="s">
        <v>24</v>
      </c>
      <c r="L243">
        <f>Table1[[#This Row],[Price]]*Table1[[#This Row],[Quantity]]</f>
        <v>2805.9</v>
      </c>
      <c r="M243">
        <f t="shared" si="3"/>
        <v>28.3575</v>
      </c>
    </row>
    <row r="244" spans="1:13">
      <c r="A244" s="11">
        <v>10702</v>
      </c>
      <c r="B244" s="12">
        <v>44922</v>
      </c>
      <c r="C244" t="s">
        <v>13</v>
      </c>
      <c r="D244" s="11">
        <v>3.49</v>
      </c>
      <c r="E244" s="13">
        <v>631</v>
      </c>
      <c r="F244" s="11">
        <v>0.88</v>
      </c>
      <c r="G244" t="e">
        <v>#VALUE!</v>
      </c>
      <c r="H244" t="e" cm="1">
        <f t="array" ref="H244">_FV(G244,"Country/region",TRUE)</f>
        <v>#NAME?</v>
      </c>
      <c r="I244" t="s">
        <v>20</v>
      </c>
      <c r="J244" t="s">
        <v>28</v>
      </c>
      <c r="K244" t="s">
        <v>24</v>
      </c>
      <c r="L244">
        <f>Table1[[#This Row],[Price]]*Table1[[#This Row],[Quantity]]</f>
        <v>2202.19</v>
      </c>
      <c r="M244">
        <f t="shared" si="3"/>
        <v>3.0712</v>
      </c>
    </row>
    <row r="245" spans="1:13">
      <c r="A245" s="11">
        <v>10703</v>
      </c>
      <c r="B245" s="12">
        <v>44922</v>
      </c>
      <c r="C245" t="s">
        <v>17</v>
      </c>
      <c r="D245" s="11">
        <v>2.95</v>
      </c>
      <c r="E245" s="13">
        <v>678</v>
      </c>
      <c r="F245" s="11">
        <v>0.47</v>
      </c>
      <c r="G245" t="e">
        <v>#VALUE!</v>
      </c>
      <c r="H245" t="e" cm="1">
        <f t="array" ref="H245">_FV(G245,"Country/region",TRUE)</f>
        <v>#NAME?</v>
      </c>
      <c r="I245" t="s">
        <v>20</v>
      </c>
      <c r="J245" t="s">
        <v>15</v>
      </c>
      <c r="K245" t="s">
        <v>24</v>
      </c>
      <c r="L245">
        <f>Table1[[#This Row],[Price]]*Table1[[#This Row],[Quantity]]</f>
        <v>2000.1</v>
      </c>
      <c r="M245">
        <f t="shared" si="3"/>
        <v>1.3865</v>
      </c>
    </row>
    <row r="246" spans="1:13">
      <c r="A246" s="11">
        <v>10704</v>
      </c>
      <c r="B246" s="12">
        <v>44922</v>
      </c>
      <c r="C246" t="s">
        <v>19</v>
      </c>
      <c r="D246" s="11">
        <v>4.99</v>
      </c>
      <c r="E246" s="13">
        <v>201</v>
      </c>
      <c r="F246" s="11">
        <v>2.25</v>
      </c>
      <c r="G246" t="e">
        <v>#VALUE!</v>
      </c>
      <c r="H246" t="e" cm="1">
        <f t="array" ref="H246">_FV(G246,"Country/region",TRUE)</f>
        <v>#NAME?</v>
      </c>
      <c r="I246" t="s">
        <v>27</v>
      </c>
      <c r="J246" t="s">
        <v>15</v>
      </c>
      <c r="K246" t="s">
        <v>24</v>
      </c>
      <c r="L246">
        <f>Table1[[#This Row],[Price]]*Table1[[#This Row],[Quantity]]</f>
        <v>1002.99</v>
      </c>
      <c r="M246">
        <f t="shared" si="3"/>
        <v>11.2275</v>
      </c>
    </row>
    <row r="247" spans="1:13">
      <c r="A247" s="11">
        <v>10705</v>
      </c>
      <c r="B247" s="12">
        <v>44923</v>
      </c>
      <c r="C247" t="s">
        <v>22</v>
      </c>
      <c r="D247" s="11">
        <v>12.99</v>
      </c>
      <c r="E247" s="13">
        <v>724</v>
      </c>
      <c r="F247" s="11">
        <v>4.32</v>
      </c>
      <c r="G247" t="e">
        <v>#VALUE!</v>
      </c>
      <c r="H247" t="e" cm="1">
        <f t="array" ref="H247">_FV(G247,"Country/region",TRUE)</f>
        <v>#NAME?</v>
      </c>
      <c r="I247" t="s">
        <v>27</v>
      </c>
      <c r="J247" t="s">
        <v>15</v>
      </c>
      <c r="K247" t="s">
        <v>24</v>
      </c>
      <c r="L247">
        <f>Table1[[#This Row],[Price]]*Table1[[#This Row],[Quantity]]</f>
        <v>9404.76</v>
      </c>
      <c r="M247">
        <f t="shared" si="3"/>
        <v>56.1168</v>
      </c>
    </row>
    <row r="248" spans="1:13">
      <c r="A248" s="11">
        <v>10706</v>
      </c>
      <c r="B248" s="12">
        <v>44923</v>
      </c>
      <c r="C248" t="s">
        <v>25</v>
      </c>
      <c r="D248" s="11">
        <v>9.95</v>
      </c>
      <c r="E248" s="13">
        <v>302</v>
      </c>
      <c r="F248" s="11">
        <v>2.85</v>
      </c>
      <c r="G248" t="e">
        <v>#VALUE!</v>
      </c>
      <c r="H248" t="e" cm="1">
        <f t="array" ref="H248">_FV(G248,"Country/region",TRUE)</f>
        <v>#NAME?</v>
      </c>
      <c r="I248" t="s">
        <v>27</v>
      </c>
      <c r="J248" t="s">
        <v>15</v>
      </c>
      <c r="K248" t="s">
        <v>24</v>
      </c>
      <c r="L248">
        <f>Table1[[#This Row],[Price]]*Table1[[#This Row],[Quantity]]</f>
        <v>3004.9</v>
      </c>
      <c r="M248">
        <f t="shared" si="3"/>
        <v>28.3575</v>
      </c>
    </row>
    <row r="249" spans="1:13">
      <c r="A249" s="11">
        <v>10707</v>
      </c>
      <c r="B249" s="12">
        <v>44923</v>
      </c>
      <c r="C249" t="s">
        <v>13</v>
      </c>
      <c r="D249" s="11">
        <v>3.49</v>
      </c>
      <c r="E249" s="13">
        <v>631</v>
      </c>
      <c r="F249" s="11">
        <v>0.88</v>
      </c>
      <c r="G249" t="e">
        <v>#VALUE!</v>
      </c>
      <c r="H249" t="e" cm="1">
        <f t="array" ref="H249">_FV(G249,"Country/region",TRUE)</f>
        <v>#NAME?</v>
      </c>
      <c r="I249" t="s">
        <v>27</v>
      </c>
      <c r="J249" t="s">
        <v>15</v>
      </c>
      <c r="K249" t="s">
        <v>24</v>
      </c>
      <c r="L249">
        <f>Table1[[#This Row],[Price]]*Table1[[#This Row],[Quantity]]</f>
        <v>2202.19</v>
      </c>
      <c r="M249">
        <f t="shared" si="3"/>
        <v>3.0712</v>
      </c>
    </row>
    <row r="250" spans="1:13">
      <c r="A250" s="11">
        <v>10708</v>
      </c>
      <c r="B250" s="12">
        <v>44923</v>
      </c>
      <c r="C250" t="s">
        <v>17</v>
      </c>
      <c r="D250" s="11">
        <v>2.95</v>
      </c>
      <c r="E250" s="13">
        <v>678</v>
      </c>
      <c r="F250" s="11">
        <v>0.47</v>
      </c>
      <c r="G250" t="e">
        <v>#VALUE!</v>
      </c>
      <c r="H250" t="e" cm="1">
        <f t="array" ref="H250">_FV(G250,"Country/region",TRUE)</f>
        <v>#NAME?</v>
      </c>
      <c r="I250" t="s">
        <v>27</v>
      </c>
      <c r="J250" t="s">
        <v>15</v>
      </c>
      <c r="K250" t="s">
        <v>24</v>
      </c>
      <c r="L250">
        <f>Table1[[#This Row],[Price]]*Table1[[#This Row],[Quantity]]</f>
        <v>2000.1</v>
      </c>
      <c r="M250">
        <f t="shared" si="3"/>
        <v>1.3865</v>
      </c>
    </row>
    <row r="251" spans="1:13">
      <c r="A251" s="11">
        <v>10709</v>
      </c>
      <c r="B251" s="12">
        <v>44923</v>
      </c>
      <c r="C251" t="s">
        <v>19</v>
      </c>
      <c r="D251" s="11">
        <v>4.99</v>
      </c>
      <c r="E251" s="13">
        <v>201</v>
      </c>
      <c r="F251" s="11">
        <v>2.25</v>
      </c>
      <c r="G251" t="e">
        <v>#VALUE!</v>
      </c>
      <c r="H251" t="e" cm="1">
        <f t="array" ref="H251">_FV(G251,"Country/region",TRUE)</f>
        <v>#NAME?</v>
      </c>
      <c r="I251" t="s">
        <v>27</v>
      </c>
      <c r="J251" t="s">
        <v>15</v>
      </c>
      <c r="K251" t="s">
        <v>24</v>
      </c>
      <c r="L251">
        <f>Table1[[#This Row],[Price]]*Table1[[#This Row],[Quantity]]</f>
        <v>1002.99</v>
      </c>
      <c r="M251">
        <f t="shared" si="3"/>
        <v>11.2275</v>
      </c>
    </row>
    <row r="252" spans="1:13">
      <c r="A252" s="11">
        <v>10710</v>
      </c>
      <c r="B252" s="12">
        <v>44924</v>
      </c>
      <c r="C252" t="s">
        <v>22</v>
      </c>
      <c r="D252" s="11">
        <v>12.99</v>
      </c>
      <c r="E252" s="13">
        <v>755</v>
      </c>
      <c r="F252" s="11">
        <v>4.32</v>
      </c>
      <c r="G252" t="e">
        <v>#VALUE!</v>
      </c>
      <c r="H252" t="e" cm="1">
        <f t="array" ref="H252">_FV(G252,"Country/region",TRUE)</f>
        <v>#NAME?</v>
      </c>
      <c r="I252" t="s">
        <v>27</v>
      </c>
      <c r="J252" t="s">
        <v>15</v>
      </c>
      <c r="K252" t="s">
        <v>24</v>
      </c>
      <c r="L252">
        <f>Table1[[#This Row],[Price]]*Table1[[#This Row],[Quantity]]</f>
        <v>9807.45</v>
      </c>
      <c r="M252">
        <f t="shared" si="3"/>
        <v>56.1168</v>
      </c>
    </row>
    <row r="253" spans="1:13">
      <c r="A253" s="11">
        <v>10711</v>
      </c>
      <c r="B253" s="12">
        <v>44924</v>
      </c>
      <c r="C253" t="s">
        <v>25</v>
      </c>
      <c r="D253" s="11">
        <v>9.95</v>
      </c>
      <c r="E253" s="13">
        <v>282</v>
      </c>
      <c r="F253" s="11">
        <v>2.85</v>
      </c>
      <c r="G253" t="e">
        <v>#VALUE!</v>
      </c>
      <c r="H253" t="e" cm="1">
        <f t="array" ref="H253">_FV(G253,"Country/region",TRUE)</f>
        <v>#NAME?</v>
      </c>
      <c r="I253" t="s">
        <v>27</v>
      </c>
      <c r="J253" t="s">
        <v>15</v>
      </c>
      <c r="K253" t="s">
        <v>24</v>
      </c>
      <c r="L253">
        <f>Table1[[#This Row],[Price]]*Table1[[#This Row],[Quantity]]</f>
        <v>2805.9</v>
      </c>
      <c r="M253">
        <f t="shared" si="3"/>
        <v>28.3575</v>
      </c>
    </row>
    <row r="254" spans="1:13">
      <c r="A254" s="11">
        <v>10712</v>
      </c>
      <c r="B254" s="12">
        <v>44924</v>
      </c>
      <c r="C254" t="s">
        <v>13</v>
      </c>
      <c r="D254" s="11">
        <v>3.49</v>
      </c>
      <c r="E254" s="13">
        <v>631</v>
      </c>
      <c r="F254" s="11">
        <v>0.88</v>
      </c>
      <c r="G254" t="e">
        <v>#VALUE!</v>
      </c>
      <c r="H254" t="e" cm="1">
        <f t="array" ref="H254">_FV(G254,"Country/region",TRUE)</f>
        <v>#NAME?</v>
      </c>
      <c r="I254" t="s">
        <v>27</v>
      </c>
      <c r="J254" t="s">
        <v>15</v>
      </c>
      <c r="K254" t="s">
        <v>24</v>
      </c>
      <c r="L254">
        <f>Table1[[#This Row],[Price]]*Table1[[#This Row],[Quantity]]</f>
        <v>2202.19</v>
      </c>
      <c r="M254">
        <f t="shared" si="3"/>
        <v>3.0712</v>
      </c>
    </row>
    <row r="255" spans="1:13">
      <c r="A255" s="11">
        <v>10713</v>
      </c>
      <c r="B255" s="12">
        <v>44924</v>
      </c>
      <c r="C255" t="s">
        <v>17</v>
      </c>
      <c r="D255" s="11">
        <v>2.95</v>
      </c>
      <c r="E255" s="13">
        <v>678</v>
      </c>
      <c r="F255" s="11">
        <v>0.47</v>
      </c>
      <c r="G255" t="e">
        <v>#VALUE!</v>
      </c>
      <c r="H255" t="e" cm="1">
        <f t="array" ref="H255">_FV(G255,"Country/region",TRUE)</f>
        <v>#NAME?</v>
      </c>
      <c r="I255" t="s">
        <v>27</v>
      </c>
      <c r="J255" t="s">
        <v>15</v>
      </c>
      <c r="K255" t="s">
        <v>24</v>
      </c>
      <c r="L255">
        <f>Table1[[#This Row],[Price]]*Table1[[#This Row],[Quantity]]</f>
        <v>2000.1</v>
      </c>
      <c r="M255">
        <f t="shared" si="3"/>
        <v>1.3865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K3" sqref="K3"/>
    </sheetView>
  </sheetViews>
  <sheetFormatPr defaultColWidth="9" defaultRowHeight="18.4"/>
  <cols>
    <col min="9" max="9" width="13.425" customWidth="1"/>
    <col min="10" max="10" width="15.8583333333333" customWidth="1"/>
    <col min="12" max="12" width="13.425" customWidth="1"/>
    <col min="13" max="13" width="15.8583333333333" customWidth="1"/>
    <col min="14" max="14" width="12" customWidth="1"/>
  </cols>
  <sheetData>
    <row r="1" ht="19.7" spans="1:14">
      <c r="A1" s="1" t="s">
        <v>29</v>
      </c>
      <c r="B1" s="1"/>
      <c r="C1" s="1"/>
      <c r="D1" s="1"/>
      <c r="E1" s="1"/>
      <c r="F1" s="1"/>
      <c r="G1" s="1"/>
    </row>
    <row r="2" spans="1:14">
      <c r="I2" t="s">
        <v>30</v>
      </c>
      <c r="J2" t="s">
        <v>31</v>
      </c>
      <c r="L2" t="s">
        <v>30</v>
      </c>
      <c r="M2" t="s">
        <v>32</v>
      </c>
      <c r="N2" t="s">
        <v>33</v>
      </c>
    </row>
    <row r="3" ht="19.7" spans="1:14">
      <c r="A3" s="2" t="s">
        <v>34</v>
      </c>
      <c r="B3" s="3"/>
      <c r="C3" s="3"/>
      <c r="D3" s="3"/>
      <c r="E3" s="3"/>
      <c r="F3" s="3"/>
      <c r="G3" s="3"/>
      <c r="I3" s="4" t="s">
        <v>17</v>
      </c>
      <c r="J3" s="5">
        <v>34988</v>
      </c>
      <c r="L3" s="4" t="s">
        <v>22</v>
      </c>
      <c r="M3" s="6">
        <v>690.48</v>
      </c>
      <c r="N3" s="6">
        <v>224.64</v>
      </c>
    </row>
    <row r="4" ht="19.7" spans="1:14">
      <c r="A4" s="7"/>
      <c r="B4" s="8"/>
      <c r="C4" s="8"/>
      <c r="D4" s="8"/>
      <c r="E4" s="8"/>
      <c r="I4" s="4" t="s">
        <v>13</v>
      </c>
      <c r="J4" s="5">
        <v>32067</v>
      </c>
      <c r="L4" s="4" t="s">
        <v>25</v>
      </c>
      <c r="M4" s="6">
        <v>536.5</v>
      </c>
      <c r="N4" s="6">
        <v>148.2</v>
      </c>
    </row>
    <row r="5" ht="19.7" spans="1:14">
      <c r="A5" s="2" t="s">
        <v>35</v>
      </c>
      <c r="B5" s="3"/>
      <c r="C5" s="3"/>
      <c r="D5" s="3"/>
      <c r="E5" s="3"/>
      <c r="F5" s="3"/>
      <c r="G5" s="3"/>
      <c r="I5" s="4" t="s">
        <v>22</v>
      </c>
      <c r="J5" s="5">
        <v>29048</v>
      </c>
      <c r="L5" s="4" t="s">
        <v>19</v>
      </c>
      <c r="M5" s="6">
        <v>260.96</v>
      </c>
      <c r="N5" s="6">
        <v>110.25</v>
      </c>
    </row>
    <row r="6" ht="19.7" spans="1:14">
      <c r="A6" s="7"/>
      <c r="B6" s="8"/>
      <c r="C6" s="8"/>
      <c r="D6" s="8"/>
      <c r="F6" s="8"/>
      <c r="I6" s="4" t="s">
        <v>25</v>
      </c>
      <c r="J6" s="5">
        <v>11184</v>
      </c>
      <c r="L6" s="4" t="s">
        <v>13</v>
      </c>
      <c r="M6" s="6">
        <v>200</v>
      </c>
      <c r="N6" s="6">
        <v>44.88</v>
      </c>
    </row>
    <row r="7" ht="19.7" spans="1:14">
      <c r="A7" s="2" t="s">
        <v>36</v>
      </c>
      <c r="B7" s="3"/>
      <c r="C7" s="3"/>
      <c r="D7" s="3"/>
      <c r="E7" s="3"/>
      <c r="F7" s="3"/>
      <c r="G7" s="3"/>
      <c r="I7" s="4" t="s">
        <v>19</v>
      </c>
      <c r="J7" s="5">
        <v>9849</v>
      </c>
      <c r="L7" s="4" t="s">
        <v>17</v>
      </c>
      <c r="M7" s="6">
        <v>177.77</v>
      </c>
      <c r="N7" s="6">
        <v>23.5</v>
      </c>
    </row>
    <row r="8" spans="1:14">
      <c r="I8" s="4" t="s">
        <v>37</v>
      </c>
      <c r="J8" s="5">
        <v>117136</v>
      </c>
      <c r="L8" s="4" t="s">
        <v>37</v>
      </c>
      <c r="M8" s="6">
        <v>1865.71</v>
      </c>
      <c r="N8" s="6">
        <v>551.47</v>
      </c>
    </row>
    <row r="10" spans="1:14">
      <c r="I10" t="s">
        <v>30</v>
      </c>
      <c r="J10" t="s">
        <v>38</v>
      </c>
      <c r="L10" t="s">
        <v>30</v>
      </c>
      <c r="M10" t="s">
        <v>38</v>
      </c>
    </row>
    <row r="11" spans="1:14">
      <c r="I11" s="4" t="e">
        <v>#VALUE!</v>
      </c>
      <c r="J11" s="6">
        <v>106905.41</v>
      </c>
      <c r="L11" s="4" t="s">
        <v>39</v>
      </c>
      <c r="M11" s="6">
        <v>364355.03</v>
      </c>
    </row>
    <row r="12" spans="1:14">
      <c r="I12" s="4" t="e">
        <v>#VALUE!</v>
      </c>
      <c r="J12" s="6">
        <v>273745.51</v>
      </c>
      <c r="L12" s="4" t="s">
        <v>40</v>
      </c>
      <c r="M12" s="6">
        <v>437970.25</v>
      </c>
    </row>
    <row r="13" spans="1:14">
      <c r="I13" s="4" t="e">
        <v>#VALUE!</v>
      </c>
      <c r="J13" s="6">
        <v>211522.88</v>
      </c>
      <c r="L13" s="4" t="s">
        <v>37</v>
      </c>
      <c r="M13" s="6">
        <v>802325.28</v>
      </c>
    </row>
    <row r="14" spans="1:14">
      <c r="I14" s="4" t="e">
        <v>#VALUE!</v>
      </c>
      <c r="J14" s="6">
        <v>136430.04</v>
      </c>
    </row>
    <row r="15" spans="1:14">
      <c r="I15" s="4" t="e">
        <v>#VALUE!</v>
      </c>
      <c r="J15" s="6">
        <v>73721.44</v>
      </c>
    </row>
    <row r="16" spans="1:14">
      <c r="I16" s="4" t="s">
        <v>37</v>
      </c>
      <c r="J16" s="6">
        <v>802325.28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NTANDO MKHABELA</dc:creator>
  <cp:lastModifiedBy>Ntando Zwane</cp:lastModifiedBy>
  <dcterms:created xsi:type="dcterms:W3CDTF">2026-06-26T02:42:00Z</dcterms:created>
  <dcterms:modified xsi:type="dcterms:W3CDTF">2026-06-26T04:22:58Z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CFCF83C7FDDCD0E1228E3D6A665D0437_43</vt:lpwstr>
  </property>
  <property fmtid="{D5CDD505-2E9C-101B-9397-08002B2CF9AE}" pid="3" name="KSOProductBuildVer">
    <vt:lpwstr>1033-12.1.2.24819</vt:lpwstr>
  </property>
  <property fmtid="{D5CDD505-2E9C-101B-9397-08002B2CF9AE}" pid="4" name="CalculationRule">
    <vt:i4>0</vt:i4>
  </property>
</Properties>
</file>